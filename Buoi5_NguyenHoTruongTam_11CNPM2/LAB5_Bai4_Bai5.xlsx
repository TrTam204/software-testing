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RUONG TAM\Downloads\"/>
    </mc:Choice>
  </mc:AlternateContent>
  <xr:revisionPtr revIDLastSave="0" documentId="13_ncr:1_{E85193B4-EA84-4CEA-B3DD-4F695EB9919A}" xr6:coauthVersionLast="47" xr6:coauthVersionMax="47" xr10:uidLastSave="{00000000-0000-0000-0000-000000000000}"/>
  <bookViews>
    <workbookView xWindow="-108" yWindow="-108" windowWidth="23256" windowHeight="12456" firstSheet="24" activeTab="32" xr2:uid="{00000000-000D-0000-FFFF-FFFF00000000}"/>
  </bookViews>
  <sheets>
    <sheet name="Test Summary Report" sheetId="1" r:id="rId1"/>
    <sheet name="B4_TC01" sheetId="2" r:id="rId2"/>
    <sheet name="B4_TC02" sheetId="3" r:id="rId3"/>
    <sheet name="B4_TC03" sheetId="4" r:id="rId4"/>
    <sheet name="B4_TC04" sheetId="5" r:id="rId5"/>
    <sheet name="B4_TC05" sheetId="6" r:id="rId6"/>
    <sheet name="B4_TC06" sheetId="7" r:id="rId7"/>
    <sheet name="B4_TC07" sheetId="8" r:id="rId8"/>
    <sheet name="B5_TC01" sheetId="9" r:id="rId9"/>
    <sheet name="B5_TC02" sheetId="10" r:id="rId10"/>
    <sheet name="B5_TC03" sheetId="11" r:id="rId11"/>
    <sheet name="B5_TC04" sheetId="12" r:id="rId12"/>
    <sheet name="B5_TC05" sheetId="13" r:id="rId13"/>
    <sheet name="B5_TC06" sheetId="14" r:id="rId14"/>
    <sheet name="B5_TC07" sheetId="15" r:id="rId15"/>
    <sheet name="B5_TC08" sheetId="16" r:id="rId16"/>
    <sheet name="B5_TC09" sheetId="17" r:id="rId17"/>
    <sheet name="B5_TC10" sheetId="18" r:id="rId18"/>
    <sheet name="B5_TC11" sheetId="19" r:id="rId19"/>
    <sheet name="B5_TC12" sheetId="20" r:id="rId20"/>
    <sheet name="B5_TC13" sheetId="21" r:id="rId21"/>
    <sheet name="B5_TC14" sheetId="22" r:id="rId22"/>
    <sheet name="B5_TC15" sheetId="23" r:id="rId23"/>
    <sheet name="B5_TC16" sheetId="24" r:id="rId24"/>
    <sheet name="B5_TC17" sheetId="25" r:id="rId25"/>
    <sheet name="B5_TC18" sheetId="26" r:id="rId26"/>
    <sheet name="B5_TC19" sheetId="27" r:id="rId27"/>
    <sheet name="B5_TC20" sheetId="28" r:id="rId28"/>
    <sheet name="B5_TC21" sheetId="29" r:id="rId29"/>
    <sheet name="B5_TC22" sheetId="30" r:id="rId30"/>
    <sheet name="B5_TC23" sheetId="31" r:id="rId31"/>
    <sheet name="B5_TC24" sheetId="32" r:id="rId32"/>
    <sheet name="B5_TC25" sheetId="33" r:id="rId33"/>
    <sheet name="B5_TC26" sheetId="34" r:id="rId34"/>
    <sheet name="B5_TC27" sheetId="35" r:id="rId35"/>
    <sheet name="B5_TC28" sheetId="36" r:id="rId36"/>
    <sheet name="B5_TC29" sheetId="37" r:id="rId37"/>
    <sheet name="B5_TC30" sheetId="38" r:id="rId38"/>
    <sheet name="B5_TC31" sheetId="39" r:id="rId39"/>
    <sheet name="B5_TC32" sheetId="40" r:id="rId40"/>
    <sheet name="B5_TC33" sheetId="41" r:id="rId41"/>
    <sheet name="B5_TC34" sheetId="42" r:id="rId42"/>
    <sheet name="B5_TC35" sheetId="43" r:id="rId43"/>
    <sheet name="B5_TC36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I52" i="1"/>
  <c r="H52" i="1"/>
  <c r="G52" i="1"/>
  <c r="F52" i="1"/>
  <c r="E52" i="1"/>
  <c r="D52" i="1"/>
  <c r="K52" i="1" s="1"/>
  <c r="I51" i="1"/>
  <c r="H51" i="1"/>
  <c r="G51" i="1"/>
  <c r="F51" i="1"/>
  <c r="E51" i="1"/>
  <c r="D51" i="1"/>
  <c r="K51" i="1" s="1"/>
  <c r="I50" i="1"/>
  <c r="H50" i="1"/>
  <c r="G50" i="1"/>
  <c r="F50" i="1"/>
  <c r="E50" i="1"/>
  <c r="D50" i="1"/>
  <c r="K50" i="1" s="1"/>
  <c r="I49" i="1"/>
  <c r="H49" i="1"/>
  <c r="G49" i="1"/>
  <c r="F49" i="1"/>
  <c r="E49" i="1"/>
  <c r="D49" i="1"/>
  <c r="K49" i="1" s="1"/>
  <c r="I48" i="1"/>
  <c r="H48" i="1"/>
  <c r="G48" i="1"/>
  <c r="F48" i="1"/>
  <c r="E48" i="1"/>
  <c r="D48" i="1"/>
  <c r="K48" i="1" s="1"/>
  <c r="I47" i="1"/>
  <c r="H47" i="1"/>
  <c r="G47" i="1"/>
  <c r="F47" i="1"/>
  <c r="E47" i="1"/>
  <c r="D47" i="1"/>
  <c r="K47" i="1" s="1"/>
  <c r="I46" i="1"/>
  <c r="H46" i="1"/>
  <c r="G46" i="1"/>
  <c r="F46" i="1"/>
  <c r="E46" i="1"/>
  <c r="D46" i="1"/>
  <c r="K46" i="1" s="1"/>
  <c r="K45" i="1"/>
  <c r="I45" i="1"/>
  <c r="H45" i="1"/>
  <c r="G45" i="1"/>
  <c r="F45" i="1"/>
  <c r="E45" i="1"/>
  <c r="D45" i="1"/>
  <c r="I44" i="1"/>
  <c r="H44" i="1"/>
  <c r="G44" i="1"/>
  <c r="F44" i="1"/>
  <c r="E44" i="1"/>
  <c r="D44" i="1"/>
  <c r="K44" i="1" s="1"/>
  <c r="K43" i="1"/>
  <c r="I43" i="1"/>
  <c r="H43" i="1"/>
  <c r="G43" i="1"/>
  <c r="F43" i="1"/>
  <c r="E43" i="1"/>
  <c r="D43" i="1"/>
  <c r="I42" i="1"/>
  <c r="H42" i="1"/>
  <c r="G42" i="1"/>
  <c r="F42" i="1"/>
  <c r="E42" i="1"/>
  <c r="D42" i="1"/>
  <c r="K42" i="1" s="1"/>
  <c r="K41" i="1"/>
  <c r="I41" i="1"/>
  <c r="H41" i="1"/>
  <c r="G41" i="1"/>
  <c r="F41" i="1"/>
  <c r="E41" i="1"/>
  <c r="D41" i="1"/>
  <c r="I40" i="1"/>
  <c r="H40" i="1"/>
  <c r="G40" i="1"/>
  <c r="F40" i="1"/>
  <c r="E40" i="1"/>
  <c r="D40" i="1"/>
  <c r="K40" i="1" s="1"/>
  <c r="K39" i="1"/>
  <c r="I39" i="1"/>
  <c r="H39" i="1"/>
  <c r="G39" i="1"/>
  <c r="F39" i="1"/>
  <c r="E39" i="1"/>
  <c r="D39" i="1"/>
  <c r="I38" i="1"/>
  <c r="H38" i="1"/>
  <c r="G38" i="1"/>
  <c r="F38" i="1"/>
  <c r="E38" i="1"/>
  <c r="D38" i="1"/>
  <c r="K38" i="1" s="1"/>
  <c r="I37" i="1"/>
  <c r="H37" i="1"/>
  <c r="G37" i="1"/>
  <c r="F37" i="1"/>
  <c r="E37" i="1"/>
  <c r="D37" i="1"/>
  <c r="K37" i="1" s="1"/>
  <c r="I36" i="1"/>
  <c r="H36" i="1"/>
  <c r="G36" i="1"/>
  <c r="F36" i="1"/>
  <c r="E36" i="1"/>
  <c r="D36" i="1"/>
  <c r="K36" i="1" s="1"/>
  <c r="I35" i="1"/>
  <c r="H35" i="1"/>
  <c r="G35" i="1"/>
  <c r="F35" i="1"/>
  <c r="E35" i="1"/>
  <c r="D35" i="1"/>
  <c r="K35" i="1" s="1"/>
  <c r="K34" i="1"/>
  <c r="I34" i="1"/>
  <c r="H34" i="1"/>
  <c r="G34" i="1"/>
  <c r="F34" i="1"/>
  <c r="E34" i="1"/>
  <c r="D34" i="1"/>
  <c r="I33" i="1"/>
  <c r="H33" i="1"/>
  <c r="G33" i="1"/>
  <c r="F33" i="1"/>
  <c r="E33" i="1"/>
  <c r="D33" i="1"/>
  <c r="K33" i="1" s="1"/>
  <c r="K32" i="1"/>
  <c r="I32" i="1"/>
  <c r="H32" i="1"/>
  <c r="G32" i="1"/>
  <c r="F32" i="1"/>
  <c r="E32" i="1"/>
  <c r="D32" i="1"/>
  <c r="I31" i="1"/>
  <c r="H31" i="1"/>
  <c r="G31" i="1"/>
  <c r="F31" i="1"/>
  <c r="E31" i="1"/>
  <c r="D31" i="1"/>
  <c r="K31" i="1" s="1"/>
  <c r="I30" i="1"/>
  <c r="H30" i="1"/>
  <c r="G30" i="1"/>
  <c r="F30" i="1"/>
  <c r="E30" i="1"/>
  <c r="D30" i="1"/>
  <c r="K30" i="1" s="1"/>
  <c r="K29" i="1"/>
  <c r="I29" i="1"/>
  <c r="H29" i="1"/>
  <c r="G29" i="1"/>
  <c r="F29" i="1"/>
  <c r="E29" i="1"/>
  <c r="D29" i="1"/>
  <c r="I28" i="1"/>
  <c r="H28" i="1"/>
  <c r="G28" i="1"/>
  <c r="F28" i="1"/>
  <c r="E28" i="1"/>
  <c r="D28" i="1"/>
  <c r="K28" i="1" s="1"/>
  <c r="K27" i="1"/>
  <c r="I27" i="1"/>
  <c r="H27" i="1"/>
  <c r="G27" i="1"/>
  <c r="F27" i="1"/>
  <c r="E27" i="1"/>
  <c r="D27" i="1"/>
  <c r="I26" i="1"/>
  <c r="H26" i="1"/>
  <c r="G26" i="1"/>
  <c r="F26" i="1"/>
  <c r="E26" i="1"/>
  <c r="D26" i="1"/>
  <c r="K26" i="1" s="1"/>
  <c r="K25" i="1"/>
  <c r="I25" i="1"/>
  <c r="H25" i="1"/>
  <c r="G25" i="1"/>
  <c r="F25" i="1"/>
  <c r="E25" i="1"/>
  <c r="D25" i="1"/>
  <c r="I24" i="1"/>
  <c r="H24" i="1"/>
  <c r="G24" i="1"/>
  <c r="F24" i="1"/>
  <c r="E24" i="1"/>
  <c r="D24" i="1"/>
  <c r="K24" i="1" s="1"/>
  <c r="I23" i="1"/>
  <c r="H23" i="1"/>
  <c r="G23" i="1"/>
  <c r="F23" i="1"/>
  <c r="E23" i="1"/>
  <c r="D23" i="1"/>
  <c r="K23" i="1" s="1"/>
  <c r="K22" i="1"/>
  <c r="I22" i="1"/>
  <c r="H22" i="1"/>
  <c r="G22" i="1"/>
  <c r="F22" i="1"/>
  <c r="E22" i="1"/>
  <c r="D22" i="1"/>
  <c r="I21" i="1"/>
  <c r="H21" i="1"/>
  <c r="G21" i="1"/>
  <c r="F21" i="1"/>
  <c r="E21" i="1"/>
  <c r="D21" i="1"/>
  <c r="K21" i="1" s="1"/>
  <c r="K20" i="1"/>
  <c r="I20" i="1"/>
  <c r="H20" i="1"/>
  <c r="G20" i="1"/>
  <c r="F20" i="1"/>
  <c r="E20" i="1"/>
  <c r="D20" i="1"/>
  <c r="I19" i="1"/>
  <c r="H19" i="1"/>
  <c r="G19" i="1"/>
  <c r="F19" i="1"/>
  <c r="E19" i="1"/>
  <c r="D19" i="1"/>
  <c r="K19" i="1" s="1"/>
  <c r="K18" i="1"/>
  <c r="I18" i="1"/>
  <c r="H18" i="1"/>
  <c r="G18" i="1"/>
  <c r="F18" i="1"/>
  <c r="E18" i="1"/>
  <c r="D18" i="1"/>
  <c r="I17" i="1"/>
  <c r="H17" i="1"/>
  <c r="G17" i="1"/>
  <c r="F17" i="1"/>
  <c r="E17" i="1"/>
  <c r="D17" i="1"/>
  <c r="K17" i="1" s="1"/>
  <c r="K16" i="1"/>
  <c r="I16" i="1"/>
  <c r="H16" i="1"/>
  <c r="G16" i="1"/>
  <c r="F16" i="1"/>
  <c r="E16" i="1"/>
  <c r="D16" i="1"/>
  <c r="I15" i="1"/>
  <c r="H15" i="1"/>
  <c r="G15" i="1"/>
  <c r="F15" i="1"/>
  <c r="E15" i="1"/>
  <c r="D15" i="1"/>
  <c r="K15" i="1" s="1"/>
  <c r="I14" i="1"/>
  <c r="H14" i="1"/>
  <c r="G14" i="1"/>
  <c r="F14" i="1"/>
  <c r="E14" i="1"/>
  <c r="D14" i="1"/>
  <c r="K14" i="1" s="1"/>
  <c r="K13" i="1"/>
  <c r="I13" i="1"/>
  <c r="H13" i="1"/>
  <c r="G13" i="1"/>
  <c r="F13" i="1"/>
  <c r="E13" i="1"/>
  <c r="D13" i="1"/>
  <c r="I12" i="1"/>
  <c r="H12" i="1"/>
  <c r="G12" i="1"/>
  <c r="F12" i="1"/>
  <c r="E12" i="1"/>
  <c r="D12" i="1"/>
  <c r="K12" i="1" s="1"/>
  <c r="K11" i="1"/>
  <c r="I11" i="1"/>
  <c r="H11" i="1"/>
  <c r="G11" i="1"/>
  <c r="F11" i="1"/>
  <c r="E11" i="1"/>
  <c r="D11" i="1"/>
  <c r="I10" i="1"/>
  <c r="I53" i="1" s="1"/>
  <c r="H10" i="1"/>
  <c r="H53" i="1" s="1"/>
  <c r="G10" i="1"/>
  <c r="G53" i="1" s="1"/>
  <c r="F10" i="1"/>
  <c r="F53" i="1" s="1"/>
  <c r="E10" i="1"/>
  <c r="E53" i="1" s="1"/>
  <c r="D10" i="1"/>
  <c r="D53" i="1" s="1"/>
  <c r="K53" i="1" s="1"/>
  <c r="K10" i="1" l="1"/>
</calcChain>
</file>

<file path=xl/sharedStrings.xml><?xml version="1.0" encoding="utf-8"?>
<sst xmlns="http://schemas.openxmlformats.org/spreadsheetml/2006/main" count="2158" uniqueCount="300">
  <si>
    <t>TEST REPORT</t>
  </si>
  <si>
    <t>Project Name</t>
  </si>
  <si>
    <t>LAB5 - Kiểm thử (Bài 4,5)</t>
  </si>
  <si>
    <t>Creator</t>
  </si>
  <si>
    <t>NguyenHoTruongTam</t>
  </si>
  <si>
    <t>Group ID</t>
  </si>
  <si>
    <t>11CNPM2 - NguyenHoTruongTam</t>
  </si>
  <si>
    <t>Approver</t>
  </si>
  <si>
    <t>Giảng viên</t>
  </si>
  <si>
    <t>Date</t>
  </si>
  <si>
    <t>27-01-2026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</si>
  <si>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</si>
  <si>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</si>
  <si>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</si>
  <si>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</si>
  <si>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</si>
  <si>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</si>
  <si>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</si>
  <si>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</si>
  <si>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</si>
  <si>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Test Coverage</t>
  </si>
  <si>
    <t>B4_TC01</t>
  </si>
  <si>
    <t>B4_TC02</t>
  </si>
  <si>
    <t>B4_TC03</t>
  </si>
  <si>
    <t>B4_TC04</t>
  </si>
  <si>
    <t>B4_TC05</t>
  </si>
  <si>
    <t>B4_TC06</t>
  </si>
  <si>
    <t>B4_TC07</t>
  </si>
  <si>
    <t>B5_TC01</t>
  </si>
  <si>
    <t>B5_TC02</t>
  </si>
  <si>
    <t>B5_TC03</t>
  </si>
  <si>
    <t>B5_TC04</t>
  </si>
  <si>
    <t>B5_TC05</t>
  </si>
  <si>
    <t>B5_TC06</t>
  </si>
  <si>
    <t>B5_TC07</t>
  </si>
  <si>
    <t>B5_TC08</t>
  </si>
  <si>
    <t>B5_TC09</t>
  </si>
  <si>
    <t>B5_TC10</t>
  </si>
  <si>
    <t>B5_TC11</t>
  </si>
  <si>
    <t>B5_TC12</t>
  </si>
  <si>
    <t>B5_TC13</t>
  </si>
  <si>
    <t>B5_TC14</t>
  </si>
  <si>
    <t>B5_TC15</t>
  </si>
  <si>
    <t>B5_TC16</t>
  </si>
  <si>
    <t>B5_TC17</t>
  </si>
  <si>
    <t>B5_TC18</t>
  </si>
  <si>
    <t>B5_TC19</t>
  </si>
  <si>
    <t>B5_TC20</t>
  </si>
  <si>
    <t>B5_TC21</t>
  </si>
  <si>
    <t>B5_TC22</t>
  </si>
  <si>
    <t>B5_TC23</t>
  </si>
  <si>
    <t>B5_TC24</t>
  </si>
  <si>
    <t>B5_TC25</t>
  </si>
  <si>
    <t>B5_TC26</t>
  </si>
  <si>
    <t>B5_TC27</t>
  </si>
  <si>
    <t>B5_TC28</t>
  </si>
  <si>
    <t>B5_TC29</t>
  </si>
  <si>
    <t>B5_TC30</t>
  </si>
  <si>
    <t>B5_TC31</t>
  </si>
  <si>
    <t>B5_TC32</t>
  </si>
  <si>
    <t>B5_TC33</t>
  </si>
  <si>
    <t>B5_TC34</t>
  </si>
  <si>
    <t>B5_TC35</t>
  </si>
  <si>
    <t>B5_TC36</t>
  </si>
  <si>
    <t>Test Case ID</t>
  </si>
  <si>
    <t>Test Case Description</t>
  </si>
  <si>
    <t>[BÀI 4] CHILD tuổi 0 =&gt; 50</t>
  </si>
  <si>
    <t>Version</t>
  </si>
  <si>
    <t>2.1</t>
  </si>
  <si>
    <t>Created By</t>
  </si>
  <si>
    <t>Reviewed By</t>
  </si>
  <si>
    <t>GVHD</t>
  </si>
  <si>
    <t>Test Case (Pass/Fail/Not Executed)</t>
  </si>
  <si>
    <t>Pass</t>
  </si>
  <si>
    <t>QA Tester's Log</t>
  </si>
  <si>
    <t>Đã review theo yêu cầu đề bài.</t>
  </si>
  <si>
    <t>Tester's Name</t>
  </si>
  <si>
    <t>Date Tested</t>
  </si>
  <si>
    <t>Test Case</t>
  </si>
  <si>
    <t>S #</t>
  </si>
  <si>
    <t>Prerequisites:</t>
  </si>
  <si>
    <t>Test Data Requirement</t>
  </si>
  <si>
    <t>Mở Payment Calculator</t>
  </si>
  <si>
    <t>Age=0</t>
  </si>
  <si>
    <t>Chọn Child</t>
  </si>
  <si>
    <t>Type=Child</t>
  </si>
  <si>
    <t>—</t>
  </si>
  <si>
    <t>Click Calculate</t>
  </si>
  <si>
    <t>Expected=50</t>
  </si>
  <si>
    <t>Test Conditions</t>
  </si>
  <si>
    <t>Step #</t>
  </si>
  <si>
    <t>Step Details</t>
  </si>
  <si>
    <t>Expected Results</t>
  </si>
  <si>
    <t>Actual Results</t>
  </si>
  <si>
    <t>Pass / Fail / Not executed / Suspended</t>
  </si>
  <si>
    <t>Chọn Child (0-17 years).</t>
  </si>
  <si>
    <t>Child được chọn.</t>
  </si>
  <si>
    <t>Nhập Age=0.</t>
  </si>
  <si>
    <t>Age hiển thị 0.</t>
  </si>
  <si>
    <t>Nhấn Calculate.</t>
  </si>
  <si>
    <t>Payment=50 euro.</t>
  </si>
  <si>
    <t>Notes</t>
  </si>
  <si>
    <t>[BÀI 4] CHILD tuổi 17 (biên trên) =&gt; 50</t>
  </si>
  <si>
    <t>Age=17</t>
  </si>
  <si>
    <t>Chọn Child.</t>
  </si>
  <si>
    <t>Nhập Age=17.</t>
  </si>
  <si>
    <t>Age hiển thị 17.</t>
  </si>
  <si>
    <t>[BÀI 4] MALE tuổi 18 (biên dưới) =&gt; 100</t>
  </si>
  <si>
    <t>Age=18</t>
  </si>
  <si>
    <t>Chọn Male</t>
  </si>
  <si>
    <t>Type=Male</t>
  </si>
  <si>
    <t>Expected=100</t>
  </si>
  <si>
    <t>Chọn Male.</t>
  </si>
  <si>
    <t>Male được chọn.</t>
  </si>
  <si>
    <t>Nhập Age=18.</t>
  </si>
  <si>
    <t>Age hiển thị 18.</t>
  </si>
  <si>
    <t>Payment=100 euro.</t>
  </si>
  <si>
    <t>[BÀI 4] MALE tuổi 36 (biên dưới nhóm 2) =&gt; 120</t>
  </si>
  <si>
    <t>Age=36</t>
  </si>
  <si>
    <t>Expected=120</t>
  </si>
  <si>
    <t>Nhập Age=36.</t>
  </si>
  <si>
    <t>Age hiển thị 36.</t>
  </si>
  <si>
    <t>Payment=120 euro.</t>
  </si>
  <si>
    <t>[BÀI 4] FEMALE tuổi 18 =&gt; 80</t>
  </si>
  <si>
    <t>Chọn Female</t>
  </si>
  <si>
    <t>Type=Female</t>
  </si>
  <si>
    <t>Expected=80</t>
  </si>
  <si>
    <t>Chọn Female.</t>
  </si>
  <si>
    <t>Female được chọn.</t>
  </si>
  <si>
    <t>Payment=80 euro.</t>
  </si>
  <si>
    <t>[BÀI 4] FEMALE tuổi 50 (biên trên nhóm 2) =&gt; 110</t>
  </si>
  <si>
    <t>Age=50</t>
  </si>
  <si>
    <t>Expected=110</t>
  </si>
  <si>
    <t>Nhập Age=50.</t>
  </si>
  <si>
    <t>Age hiển thị 50.</t>
  </si>
  <si>
    <t>Payment=110 euro.</t>
  </si>
  <si>
    <t>[BÀI 4] Invalid age 146 =&gt; báo lỗi</t>
  </si>
  <si>
    <t>Age=146</t>
  </si>
  <si>
    <t>Expected=Error</t>
  </si>
  <si>
    <t>Nhập Age=146.</t>
  </si>
  <si>
    <t>Age hiển thị 146.</t>
  </si>
  <si>
    <t>Thông báo lỗi tuổi không hợp lệ (&gt;145).</t>
  </si>
  <si>
    <t>[BÀI 5] Đăng ký thành công (happy path)</t>
  </si>
  <si>
    <t>SQL LocalDB chạy</t>
  </si>
  <si>
    <t>CustomerId=KH0001</t>
  </si>
  <si>
    <t>Bảng Customers tồn tại</t>
  </si>
  <si>
    <t>Name=Nguyễn Văn A</t>
  </si>
  <si>
    <t>CustomerId/Email chưa tồn tại</t>
  </si>
  <si>
    <t>Email=kh0001@email.com</t>
  </si>
  <si>
    <t>Mở form Register</t>
  </si>
  <si>
    <t>Phone=0912345678</t>
  </si>
  <si>
    <t>Nhập dữ liệu hợp lệ + tick Điều khoản.</t>
  </si>
  <si>
    <t>Không lỗi validate.</t>
  </si>
  <si>
    <t>Nhấn Đăng ký.</t>
  </si>
  <si>
    <t>Thông báo 'Đăng ký tài khoản thành công!'.</t>
  </si>
  <si>
    <t>Kiểm tra DB bằng SELECT.</t>
  </si>
  <si>
    <t>Có bản ghi mới (KH0001, kh0001@email.com).</t>
  </si>
  <si>
    <t>[BÀI 5] CustomerId trống</t>
  </si>
  <si>
    <t>CustomerId=(blank)</t>
  </si>
  <si>
    <t>Các trường khác hợp lệ</t>
  </si>
  <si>
    <t>Tick Điều khoản</t>
  </si>
  <si>
    <t>Click Đăng ký</t>
  </si>
  <si>
    <t>Để trống Mã khách hàng.</t>
  </si>
  <si>
    <t>Trường CustomerId rỗng.</t>
  </si>
  <si>
    <t>Báo lỗi: CustomerId là bắt buộc.</t>
  </si>
  <si>
    <t>[BÀI 5] CustomerId &lt;6 ký tự</t>
  </si>
  <si>
    <t>CustomerId=KH1</t>
  </si>
  <si>
    <t>Nhập CustomerId=KH1.</t>
  </si>
  <si>
    <t>Độ dài &lt;6.</t>
  </si>
  <si>
    <t>Báo lỗi: CustomerId 6-10 ký tự.</t>
  </si>
  <si>
    <t>[BÀI 5] CustomerId chứa ký tự đặc biệt</t>
  </si>
  <si>
    <t>CustomerId=KH@001</t>
  </si>
  <si>
    <t>Nhập CustomerId=KH@001.</t>
  </si>
  <si>
    <t>Có ký tự @.</t>
  </si>
  <si>
    <t>Báo lỗi: chỉ cho phép chữ và số.</t>
  </si>
  <si>
    <t>[BÀI 5] CustomerId trùng lặp</t>
  </si>
  <si>
    <t>DB có CustomerId=KH0002</t>
  </si>
  <si>
    <t>CustomerId=KH0002</t>
  </si>
  <si>
    <t>Email=kh0002_new@email.com</t>
  </si>
  <si>
    <t>Nhập CustomerId đã tồn tại.</t>
  </si>
  <si>
    <t>CustomerId=KH0002.</t>
  </si>
  <si>
    <t>Báo lỗi: CustomerId đã tồn tại.</t>
  </si>
  <si>
    <t>[BÀI 5] Email sai định dạng</t>
  </si>
  <si>
    <t>Email=abc@</t>
  </si>
  <si>
    <t>Nhập Email=abc@</t>
  </si>
  <si>
    <t>Sai định dạng.</t>
  </si>
  <si>
    <t>Báo lỗi: Email không hợp lệ.</t>
  </si>
  <si>
    <t>[BÀI 5] Email trùng lặp</t>
  </si>
  <si>
    <t>DB có Email=dup@email.com</t>
  </si>
  <si>
    <t>Email=dup@email.com</t>
  </si>
  <si>
    <t>CustomerId=KH0099</t>
  </si>
  <si>
    <t>Nhập Email đã tồn tại.</t>
  </si>
  <si>
    <t>Email=dup@email.com.</t>
  </si>
  <si>
    <t>Báo lỗi: Email đã tồn tại.</t>
  </si>
  <si>
    <t>[BÀI 5] SĐT không bắt đầu bằng 0</t>
  </si>
  <si>
    <t>Phone=9123456789</t>
  </si>
  <si>
    <t>Nhập SĐT=9123456789.</t>
  </si>
  <si>
    <t>Không bắt đầu bằng 0.</t>
  </si>
  <si>
    <t>Báo lỗi: SĐT phải bắt đầu bằng 0.</t>
  </si>
  <si>
    <t>[BÀI 5] Xác nhận mật khẩu không khớp</t>
  </si>
  <si>
    <t>Password=abc12345</t>
  </si>
  <si>
    <t>Confirm=abc12346</t>
  </si>
  <si>
    <t>Nhập Password và Confirm khác nhau.</t>
  </si>
  <si>
    <t>Password!=Confirm.</t>
  </si>
  <si>
    <t>Báo lỗi: Xác nhận mật khẩu không khớp.</t>
  </si>
  <si>
    <t>[BÀI 5] Không tick điều khoản dịch vụ</t>
  </si>
  <si>
    <t>Tất cả dữ liệu hợp lệ</t>
  </si>
  <si>
    <t>Terms=unchecked</t>
  </si>
  <si>
    <t>Nhập dữ liệu hợp lệ nhưng không tick điều khoản.</t>
  </si>
  <si>
    <t>Terms=false.</t>
  </si>
  <si>
    <t>Báo lỗi: phải đồng ý điều khoản.</t>
  </si>
  <si>
    <t>B5_011</t>
  </si>
  <si>
    <t>Mở ứng dụng RegisterForm</t>
  </si>
  <si>
    <t>MaKH: '' (rỗng)</t>
  </si>
  <si>
    <t>Kết nối DB LocalDB (Bai5_Register_SQL)</t>
  </si>
  <si>
    <t>Bảng Customers/KhachHang tồn tại</t>
  </si>
  <si>
    <t>Tick điều khoản</t>
  </si>
  <si>
    <t>Form đang ở trạng thái rỗng</t>
  </si>
  <si>
    <t>Nhập dữ liệu theo Test Data</t>
  </si>
  <si>
    <t>Các trường nhận dữ liệu đúng (theo mô tả)</t>
  </si>
  <si>
    <t>Nhấn nút 'Đăng ký'</t>
  </si>
  <si>
    <t>Hệ thống thực hiện validate toàn bộ trường</t>
  </si>
  <si>
    <t>Quan sát thông báo/hiển thị lỗi</t>
  </si>
  <si>
    <t>Hiển thị lỗi 'Mã khách hàng là bắt buộc'</t>
  </si>
  <si>
    <t>B5_012</t>
  </si>
  <si>
    <t>MaKH: 'A1234' (5 ký tự)</t>
  </si>
  <si>
    <t>Hiển thị lỗi độ dài 6-10</t>
  </si>
  <si>
    <t>B5_013</t>
  </si>
  <si>
    <t>MaKH: 'ABC12345678' (11 ký tự)</t>
  </si>
  <si>
    <t>B5_014</t>
  </si>
  <si>
    <t>MaKH: 'KH@123'</t>
  </si>
  <si>
    <t>Hiển thị lỗi chỉ chữ và số</t>
  </si>
  <si>
    <t>B5_015</t>
  </si>
  <si>
    <t>MaKH: 'KH0001' đã có trong DB</t>
  </si>
  <si>
    <t>Hiển thị lỗi 'Mã khách hàng đã tồn tại'</t>
  </si>
  <si>
    <t>B5_016</t>
  </si>
  <si>
    <t>HoTen: ''</t>
  </si>
  <si>
    <t>Hiển thị lỗi 'Họ và tên là bắt buộc'</t>
  </si>
  <si>
    <t>B5_017</t>
  </si>
  <si>
    <t>HoTen: 'An A' (4 ký tự tính cả khoảng trắng?)</t>
  </si>
  <si>
    <t>Hiển thị lỗi độ dài 5-50</t>
  </si>
  <si>
    <t>B5_018</t>
  </si>
  <si>
    <t>HoTen: 51 ký tự</t>
  </si>
  <si>
    <t>B5_019</t>
  </si>
  <si>
    <t>HoTen: 'Nguyen Van A1'</t>
  </si>
  <si>
    <t>Hiển thị lỗi chỉ chữ + khoảng trắng</t>
  </si>
  <si>
    <t>B5_020</t>
  </si>
  <si>
    <t>Email: ''</t>
  </si>
  <si>
    <t>Hiển thị lỗi 'Email là bắt buộc'</t>
  </si>
  <si>
    <t>B5_021</t>
  </si>
  <si>
    <t>Email: 'abc@'</t>
  </si>
  <si>
    <t>Hiển thị lỗi 'Email không hợp lệ'</t>
  </si>
  <si>
    <t>B5_022</t>
  </si>
  <si>
    <t>Email: 'a@b.com' đã có trong DB</t>
  </si>
  <si>
    <t>Hiển thị lỗi 'Email đã tồn tại'</t>
  </si>
  <si>
    <t>B5_023</t>
  </si>
  <si>
    <t>SDT: ''</t>
  </si>
  <si>
    <t>Hiển thị lỗi 'Số điện thoại là bắt buộc'</t>
  </si>
  <si>
    <t>B5_024</t>
  </si>
  <si>
    <t>SDT: '09A1234567'</t>
  </si>
  <si>
    <t>Hiển thị lỗi chỉ cho nhập số</t>
  </si>
  <si>
    <t>B5_025</t>
  </si>
  <si>
    <t>SDT: '091234567' (9 số)</t>
  </si>
  <si>
    <t>Hiển thị lỗi 10-12 số</t>
  </si>
  <si>
    <t>B5_026</t>
  </si>
  <si>
    <t>SDT: '0912345678901' (13 số)</t>
  </si>
  <si>
    <t>B5_027</t>
  </si>
  <si>
    <t>SDT: '1912345678'</t>
  </si>
  <si>
    <t>Hiển thị lỗi phải bắt đầu bằng 0</t>
  </si>
  <si>
    <t>B5_028</t>
  </si>
  <si>
    <t>DiaChi: ''</t>
  </si>
  <si>
    <t>Hiển thị lỗi 'Địa chỉ là bắt buộc'</t>
  </si>
  <si>
    <t>B5_029</t>
  </si>
  <si>
    <t>DiaChi: 256 ký tự</t>
  </si>
  <si>
    <t>Hiển thị lỗi tối đa 255 ký tự</t>
  </si>
  <si>
    <t>B5_030</t>
  </si>
  <si>
    <t>MatKhau: '1234567' (7 ký tự)</t>
  </si>
  <si>
    <t>Hiển thị lỗi tối thiểu 8 ký tự</t>
  </si>
  <si>
    <t>B5_031</t>
  </si>
  <si>
    <t>XacNhan: ''</t>
  </si>
  <si>
    <t>Hiển thị lỗi 'Xác nhận mật khẩu là bắt buộc'</t>
  </si>
  <si>
    <t>B5_032</t>
  </si>
  <si>
    <t>MatKhau: 'Abc12345'</t>
  </si>
  <si>
    <t>XacNhan: 'Abc123456'</t>
  </si>
  <si>
    <t>Hiển thị lỗi 'Mật khẩu xác nhận không khớp'</t>
  </si>
  <si>
    <t>B5_033</t>
  </si>
  <si>
    <t>NgaySinh: (hôm nay - 17 năm)</t>
  </si>
  <si>
    <t>Hiển thị lỗi 'Chưa đủ 18 tuổi'</t>
  </si>
  <si>
    <t>B5_034</t>
  </si>
  <si>
    <t>Bỏ tick 'Tôi đồng ý điều khoản'</t>
  </si>
  <si>
    <t>Hiển thị lỗi bắt buộc đồng ý điều khoản</t>
  </si>
  <si>
    <t>B5_035</t>
  </si>
  <si>
    <t>Nhập dữ liệu bất kỳ, chọn giới tính, tick điều khoản</t>
  </si>
  <si>
    <t>Sau khi bấm Nhập lại: các ô rỗng, radio về mặc định, checkbox bỏ chọn</t>
  </si>
  <si>
    <t>B5_036</t>
  </si>
  <si>
    <t>MaKH: 'KH1234'</t>
  </si>
  <si>
    <t>HoTen: 'Nguyễn Văn A'</t>
  </si>
  <si>
    <t>Email: 'vana123@email.com'</t>
  </si>
  <si>
    <t>SDT: '0912345678'</t>
  </si>
  <si>
    <t>Hiện thông báo 'Đăng ký tài khoản thành công!' và record được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</si>
</sst>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Calibri"/>
    </font>
    <font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C6E0B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1" fillId="4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topLeftCell="A20" zoomScale="68" workbookViewId="0"/>
  </sheetViews>
  <sheetFormatPr defaultRowHeight="13.8" x14ac:dyDescent="0.25"/>
  <cols>
    <col min="1" max="1" width="4" customWidth="1"/>
    <col min="2" max="2" width="30" customWidth="1"/>
    <col min="3" max="6" width="12" customWidth="1"/>
    <col min="7" max="10" width="14" customWidth="1"/>
  </cols>
  <sheetData>
    <row r="1" spans="2:11" ht="18" x14ac:dyDescent="0.35">
      <c r="B1" s="1" t="s">
        <v>0</v>
      </c>
    </row>
    <row r="3" spans="2:11" ht="14.4" x14ac:dyDescent="0.25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spans="2:11" ht="14.4" x14ac:dyDescent="0.25">
      <c r="B4" s="2" t="s">
        <v>5</v>
      </c>
      <c r="C4" s="3" t="s">
        <v>6</v>
      </c>
      <c r="D4" s="3"/>
      <c r="E4" s="3"/>
      <c r="F4" s="2" t="s">
        <v>7</v>
      </c>
      <c r="G4" s="3" t="s">
        <v>8</v>
      </c>
    </row>
    <row r="5" spans="2:11" x14ac:dyDescent="0.25">
      <c r="B5" s="3"/>
      <c r="C5" s="3"/>
      <c r="D5" s="3"/>
      <c r="E5" s="3"/>
      <c r="F5" s="3"/>
      <c r="G5" s="3"/>
    </row>
    <row r="6" spans="2:11" ht="14.4" x14ac:dyDescent="0.25">
      <c r="B6" s="2" t="s">
        <v>9</v>
      </c>
      <c r="C6" s="3" t="s">
        <v>10</v>
      </c>
      <c r="D6" s="3"/>
      <c r="E6" s="3"/>
      <c r="F6" s="3"/>
      <c r="G6" s="3"/>
    </row>
    <row r="9" spans="2:11" ht="28.8" x14ac:dyDescent="0.25"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4" t="s">
        <v>20</v>
      </c>
    </row>
    <row r="10" spans="2:11" x14ac:dyDescent="0.25">
      <c r="B10" s="5">
        <v>1</v>
      </c>
      <c r="C10" s="6" t="s">
        <v>21</v>
      </c>
      <c r="D10" s="5">
        <f>IF(OR(B4_TC01!$K$2="Pass",B4_TC01!$K$2="Fail",B4_TC01!$K$2="Blocked",B4_TC01!$K$2="Skipped"),1,0)</f>
        <v>1</v>
      </c>
      <c r="E10" s="5">
        <f>IF(B4_TC01!$K$2="Pass",1,0)</f>
        <v>1</v>
      </c>
      <c r="F10" s="5">
        <f>IF(B4_TC01!$K$2="Fail",1,0)</f>
        <v>0</v>
      </c>
      <c r="G10" s="5">
        <f>IF(B4_TC01!$K$2="Blocked",1,0)</f>
        <v>0</v>
      </c>
      <c r="H10" s="5">
        <f>IF(B4_TC01!$K$2="Skipped",1,0)</f>
        <v>0</v>
      </c>
      <c r="I10" s="5">
        <f>IF(OR(B4_TC01!$K$2="Not Executed",B4_TC01!$K$2=""),1,0)</f>
        <v>0</v>
      </c>
      <c r="J10" s="5">
        <v>1</v>
      </c>
      <c r="K10" s="5">
        <f t="shared" ref="K10:K53" si="0">D10/J10</f>
        <v>1</v>
      </c>
    </row>
    <row r="11" spans="2:11" x14ac:dyDescent="0.25">
      <c r="B11" s="5">
        <v>2</v>
      </c>
      <c r="C11" s="6" t="s">
        <v>22</v>
      </c>
      <c r="D11" s="5">
        <f>IF(OR(B4_TC02!$K$2="Pass",B4_TC02!$K$2="Fail",B4_TC02!$K$2="Blocked",B4_TC02!$K$2="Skipped"),1,0)</f>
        <v>1</v>
      </c>
      <c r="E11" s="5">
        <f>IF(B4_TC02!$K$2="Pass",1,0)</f>
        <v>1</v>
      </c>
      <c r="F11" s="5">
        <f>IF(B4_TC02!$K$2="Fail",1,0)</f>
        <v>0</v>
      </c>
      <c r="G11" s="5">
        <f>IF(B4_TC02!$K$2="Blocked",1,0)</f>
        <v>0</v>
      </c>
      <c r="H11" s="5">
        <f>IF(B4_TC02!$K$2="Skipped",1,0)</f>
        <v>0</v>
      </c>
      <c r="I11" s="5">
        <f>IF(OR(B4_TC02!$K$2="Not Executed",B4_TC02!$K$2=""),1,0)</f>
        <v>0</v>
      </c>
      <c r="J11" s="5">
        <v>1</v>
      </c>
      <c r="K11" s="5">
        <f t="shared" si="0"/>
        <v>1</v>
      </c>
    </row>
    <row r="12" spans="2:11" x14ac:dyDescent="0.25">
      <c r="B12" s="5">
        <v>3</v>
      </c>
      <c r="C12" s="6" t="s">
        <v>23</v>
      </c>
      <c r="D12" s="5">
        <f>IF(OR(B4_TC03!$K$2="Pass",B4_TC03!$K$2="Fail",B4_TC03!$K$2="Blocked",B4_TC03!$K$2="Skipped"),1,0)</f>
        <v>1</v>
      </c>
      <c r="E12" s="5">
        <f>IF(B4_TC03!$K$2="Pass",1,0)</f>
        <v>1</v>
      </c>
      <c r="F12" s="5">
        <f>IF(B4_TC03!$K$2="Fail",1,0)</f>
        <v>0</v>
      </c>
      <c r="G12" s="5">
        <f>IF(B4_TC03!$K$2="Blocked",1,0)</f>
        <v>0</v>
      </c>
      <c r="H12" s="5">
        <f>IF(B4_TC03!$K$2="Skipped",1,0)</f>
        <v>0</v>
      </c>
      <c r="I12" s="5">
        <f>IF(OR(B4_TC03!$K$2="Not Executed",B4_TC03!$K$2=""),1,0)</f>
        <v>0</v>
      </c>
      <c r="J12" s="5">
        <v>1</v>
      </c>
      <c r="K12" s="5">
        <f t="shared" si="0"/>
        <v>1</v>
      </c>
    </row>
    <row r="13" spans="2:11" x14ac:dyDescent="0.25">
      <c r="B13" s="5">
        <v>4</v>
      </c>
      <c r="C13" s="6" t="s">
        <v>24</v>
      </c>
      <c r="D13" s="5">
        <f>IF(OR(B4_TC04!$K$2="Pass",B4_TC04!$K$2="Fail",B4_TC04!$K$2="Blocked",B4_TC04!$K$2="Skipped"),1,0)</f>
        <v>1</v>
      </c>
      <c r="E13" s="5">
        <f>IF(B4_TC04!$K$2="Pass",1,0)</f>
        <v>1</v>
      </c>
      <c r="F13" s="5">
        <f>IF(B4_TC04!$K$2="Fail",1,0)</f>
        <v>0</v>
      </c>
      <c r="G13" s="5">
        <f>IF(B4_TC04!$K$2="Blocked",1,0)</f>
        <v>0</v>
      </c>
      <c r="H13" s="5">
        <f>IF(B4_TC04!$K$2="Skipped",1,0)</f>
        <v>0</v>
      </c>
      <c r="I13" s="5">
        <f>IF(OR(B4_TC04!$K$2="Not Executed",B4_TC04!$K$2=""),1,0)</f>
        <v>0</v>
      </c>
      <c r="J13" s="5">
        <v>1</v>
      </c>
      <c r="K13" s="5">
        <f t="shared" si="0"/>
        <v>1</v>
      </c>
    </row>
    <row r="14" spans="2:11" x14ac:dyDescent="0.25">
      <c r="B14" s="5">
        <v>5</v>
      </c>
      <c r="C14" s="6" t="s">
        <v>25</v>
      </c>
      <c r="D14" s="5">
        <f>IF(OR(B4_TC05!$K$2="Pass",B4_TC05!$K$2="Fail",B4_TC05!$K$2="Blocked",B4_TC05!$K$2="Skipped"),1,0)</f>
        <v>1</v>
      </c>
      <c r="E14" s="5">
        <f>IF(B4_TC05!$K$2="Pass",1,0)</f>
        <v>1</v>
      </c>
      <c r="F14" s="5">
        <f>IF(B4_TC05!$K$2="Fail",1,0)</f>
        <v>0</v>
      </c>
      <c r="G14" s="5">
        <f>IF(B4_TC05!$K$2="Blocked",1,0)</f>
        <v>0</v>
      </c>
      <c r="H14" s="5">
        <f>IF(B4_TC05!$K$2="Skipped",1,0)</f>
        <v>0</v>
      </c>
      <c r="I14" s="5">
        <f>IF(OR(B4_TC05!$K$2="Not Executed",B4_TC05!$K$2=""),1,0)</f>
        <v>0</v>
      </c>
      <c r="J14" s="5">
        <v>1</v>
      </c>
      <c r="K14" s="5">
        <f t="shared" si="0"/>
        <v>1</v>
      </c>
    </row>
    <row r="15" spans="2:11" x14ac:dyDescent="0.25">
      <c r="B15" s="5">
        <v>6</v>
      </c>
      <c r="C15" s="6" t="s">
        <v>26</v>
      </c>
      <c r="D15" s="5">
        <f>IF(OR(B4_TC06!$K$2="Pass",B4_TC06!$K$2="Fail",B4_TC06!$K$2="Blocked",B4_TC06!$K$2="Skipped"),1,0)</f>
        <v>1</v>
      </c>
      <c r="E15" s="5">
        <f>IF(B4_TC06!$K$2="Pass",1,0)</f>
        <v>1</v>
      </c>
      <c r="F15" s="5">
        <f>IF(B4_TC06!$K$2="Fail",1,0)</f>
        <v>0</v>
      </c>
      <c r="G15" s="5">
        <f>IF(B4_TC06!$K$2="Blocked",1,0)</f>
        <v>0</v>
      </c>
      <c r="H15" s="5">
        <f>IF(B4_TC06!$K$2="Skipped",1,0)</f>
        <v>0</v>
      </c>
      <c r="I15" s="5">
        <f>IF(OR(B4_TC06!$K$2="Not Executed",B4_TC06!$K$2=""),1,0)</f>
        <v>0</v>
      </c>
      <c r="J15" s="5">
        <v>1</v>
      </c>
      <c r="K15" s="5">
        <f t="shared" si="0"/>
        <v>1</v>
      </c>
    </row>
    <row r="16" spans="2:11" x14ac:dyDescent="0.25">
      <c r="B16" s="5">
        <v>7</v>
      </c>
      <c r="C16" s="6" t="s">
        <v>27</v>
      </c>
      <c r="D16" s="5">
        <f>IF(OR(B4_TC07!$K$2="Pass",B4_TC07!$K$2="Fail",B4_TC07!$K$2="Blocked",B4_TC07!$K$2="Skipped"),1,0)</f>
        <v>1</v>
      </c>
      <c r="E16" s="5">
        <f>IF(B4_TC07!$K$2="Pass",1,0)</f>
        <v>1</v>
      </c>
      <c r="F16" s="5">
        <f>IF(B4_TC07!$K$2="Fail",1,0)</f>
        <v>0</v>
      </c>
      <c r="G16" s="5">
        <f>IF(B4_TC07!$K$2="Blocked",1,0)</f>
        <v>0</v>
      </c>
      <c r="H16" s="5">
        <f>IF(B4_TC07!$K$2="Skipped",1,0)</f>
        <v>0</v>
      </c>
      <c r="I16" s="5">
        <f>IF(OR(B4_TC07!$K$2="Not Executed",B4_TC07!$K$2=""),1,0)</f>
        <v>0</v>
      </c>
      <c r="J16" s="5">
        <v>1</v>
      </c>
      <c r="K16" s="5">
        <f t="shared" si="0"/>
        <v>1</v>
      </c>
    </row>
    <row r="17" spans="2:11" x14ac:dyDescent="0.25">
      <c r="B17" s="5">
        <v>8</v>
      </c>
      <c r="C17" s="6" t="s">
        <v>28</v>
      </c>
      <c r="D17" s="5">
        <f>IF(OR(B5_TC01!$K$2="Pass",B5_TC01!$K$2="Fail",B5_TC01!$K$2="Blocked",B5_TC01!$K$2="Skipped"),1,0)</f>
        <v>1</v>
      </c>
      <c r="E17" s="5">
        <f>IF(B5_TC01!$K$2="Pass",1,0)</f>
        <v>1</v>
      </c>
      <c r="F17" s="5">
        <f>IF(B5_TC01!$K$2="Fail",1,0)</f>
        <v>0</v>
      </c>
      <c r="G17" s="5">
        <f>IF(B5_TC01!$K$2="Blocked",1,0)</f>
        <v>0</v>
      </c>
      <c r="H17" s="5">
        <f>IF(B5_TC01!$K$2="Skipped",1,0)</f>
        <v>0</v>
      </c>
      <c r="I17" s="5">
        <f>IF(OR(B5_TC01!$K$2="Not Executed",B5_TC01!$K$2=""),1,0)</f>
        <v>0</v>
      </c>
      <c r="J17" s="5">
        <v>1</v>
      </c>
      <c r="K17" s="5">
        <f t="shared" si="0"/>
        <v>1</v>
      </c>
    </row>
    <row r="18" spans="2:11" x14ac:dyDescent="0.25">
      <c r="B18" s="5">
        <v>9</v>
      </c>
      <c r="C18" s="6" t="s">
        <v>29</v>
      </c>
      <c r="D18" s="5">
        <f>IF(OR(B5_TC02!$K$2="Pass",B5_TC02!$K$2="Fail",B5_TC02!$K$2="Blocked",B5_TC02!$K$2="Skipped"),1,0)</f>
        <v>1</v>
      </c>
      <c r="E18" s="5">
        <f>IF(B5_TC02!$K$2="Pass",1,0)</f>
        <v>1</v>
      </c>
      <c r="F18" s="5">
        <f>IF(B5_TC02!$K$2="Fail",1,0)</f>
        <v>0</v>
      </c>
      <c r="G18" s="5">
        <f>IF(B5_TC02!$K$2="Blocked",1,0)</f>
        <v>0</v>
      </c>
      <c r="H18" s="5">
        <f>IF(B5_TC02!$K$2="Skipped",1,0)</f>
        <v>0</v>
      </c>
      <c r="I18" s="5">
        <f>IF(OR(B5_TC02!$K$2="Not Executed",B5_TC02!$K$2=""),1,0)</f>
        <v>0</v>
      </c>
      <c r="J18" s="5">
        <v>1</v>
      </c>
      <c r="K18" s="5">
        <f t="shared" si="0"/>
        <v>1</v>
      </c>
    </row>
    <row r="19" spans="2:11" x14ac:dyDescent="0.25">
      <c r="B19" s="5">
        <v>10</v>
      </c>
      <c r="C19" s="6" t="s">
        <v>30</v>
      </c>
      <c r="D19" s="5">
        <f>IF(OR(B5_TC03!$K$2="Pass",B5_TC03!$K$2="Fail",B5_TC03!$K$2="Blocked",B5_TC03!$K$2="Skipped"),1,0)</f>
        <v>1</v>
      </c>
      <c r="E19" s="5">
        <f>IF(B5_TC03!$K$2="Pass",1,0)</f>
        <v>1</v>
      </c>
      <c r="F19" s="5">
        <f>IF(B5_TC03!$K$2="Fail",1,0)</f>
        <v>0</v>
      </c>
      <c r="G19" s="5">
        <f>IF(B5_TC03!$K$2="Blocked",1,0)</f>
        <v>0</v>
      </c>
      <c r="H19" s="5">
        <f>IF(B5_TC03!$K$2="Skipped",1,0)</f>
        <v>0</v>
      </c>
      <c r="I19" s="5">
        <f>IF(OR(B5_TC03!$K$2="Not Executed",B5_TC03!$K$2=""),1,0)</f>
        <v>0</v>
      </c>
      <c r="J19" s="5">
        <v>1</v>
      </c>
      <c r="K19" s="5">
        <f t="shared" si="0"/>
        <v>1</v>
      </c>
    </row>
    <row r="20" spans="2:11" x14ac:dyDescent="0.25">
      <c r="B20" s="5">
        <v>11</v>
      </c>
      <c r="C20" s="6" t="s">
        <v>31</v>
      </c>
      <c r="D20" s="5">
        <f>IF(OR(B5_TC04!$K$2="Pass",B5_TC04!$K$2="Fail",B5_TC04!$K$2="Blocked",B5_TC04!$K$2="Skipped"),1,0)</f>
        <v>1</v>
      </c>
      <c r="E20" s="5">
        <f>IF(B5_TC04!$K$2="Pass",1,0)</f>
        <v>1</v>
      </c>
      <c r="F20" s="5">
        <f>IF(B5_TC04!$K$2="Fail",1,0)</f>
        <v>0</v>
      </c>
      <c r="G20" s="5">
        <f>IF(B5_TC04!$K$2="Blocked",1,0)</f>
        <v>0</v>
      </c>
      <c r="H20" s="5">
        <f>IF(B5_TC04!$K$2="Skipped",1,0)</f>
        <v>0</v>
      </c>
      <c r="I20" s="5">
        <f>IF(OR(B5_TC04!$K$2="Not Executed",B5_TC04!$K$2=""),1,0)</f>
        <v>0</v>
      </c>
      <c r="J20" s="5">
        <v>1</v>
      </c>
      <c r="K20" s="5">
        <f t="shared" si="0"/>
        <v>1</v>
      </c>
    </row>
    <row r="21" spans="2:11" x14ac:dyDescent="0.25">
      <c r="B21" s="5">
        <v>12</v>
      </c>
      <c r="C21" s="6" t="s">
        <v>32</v>
      </c>
      <c r="D21" s="5">
        <f>IF(OR(B5_TC05!$K$2="Pass",B5_TC05!$K$2="Fail",B5_TC05!$K$2="Blocked",B5_TC05!$K$2="Skipped"),1,0)</f>
        <v>1</v>
      </c>
      <c r="E21" s="5">
        <f>IF(B5_TC05!$K$2="Pass",1,0)</f>
        <v>1</v>
      </c>
      <c r="F21" s="5">
        <f>IF(B5_TC05!$K$2="Fail",1,0)</f>
        <v>0</v>
      </c>
      <c r="G21" s="5">
        <f>IF(B5_TC05!$K$2="Blocked",1,0)</f>
        <v>0</v>
      </c>
      <c r="H21" s="5">
        <f>IF(B5_TC05!$K$2="Skipped",1,0)</f>
        <v>0</v>
      </c>
      <c r="I21" s="5">
        <f>IF(OR(B5_TC05!$K$2="Not Executed",B5_TC05!$K$2=""),1,0)</f>
        <v>0</v>
      </c>
      <c r="J21" s="5">
        <v>1</v>
      </c>
      <c r="K21" s="5">
        <f t="shared" si="0"/>
        <v>1</v>
      </c>
    </row>
    <row r="22" spans="2:11" x14ac:dyDescent="0.25">
      <c r="B22" s="5">
        <v>13</v>
      </c>
      <c r="C22" s="6" t="s">
        <v>33</v>
      </c>
      <c r="D22" s="5">
        <f>IF(OR(B5_TC06!$K$2="Pass",B5_TC06!$K$2="Fail",B5_TC06!$K$2="Blocked",B5_TC06!$K$2="Skipped"),1,0)</f>
        <v>1</v>
      </c>
      <c r="E22" s="5">
        <f>IF(B5_TC06!$K$2="Pass",1,0)</f>
        <v>1</v>
      </c>
      <c r="F22" s="5">
        <f>IF(B5_TC06!$K$2="Fail",1,0)</f>
        <v>0</v>
      </c>
      <c r="G22" s="5">
        <f>IF(B5_TC06!$K$2="Blocked",1,0)</f>
        <v>0</v>
      </c>
      <c r="H22" s="5">
        <f>IF(B5_TC06!$K$2="Skipped",1,0)</f>
        <v>0</v>
      </c>
      <c r="I22" s="5">
        <f>IF(OR(B5_TC06!$K$2="Not Executed",B5_TC06!$K$2=""),1,0)</f>
        <v>0</v>
      </c>
      <c r="J22" s="5">
        <v>1</v>
      </c>
      <c r="K22" s="5">
        <f t="shared" si="0"/>
        <v>1</v>
      </c>
    </row>
    <row r="23" spans="2:11" x14ac:dyDescent="0.25">
      <c r="B23" s="5">
        <v>14</v>
      </c>
      <c r="C23" s="6" t="s">
        <v>34</v>
      </c>
      <c r="D23" s="5">
        <f>IF(OR(B5_TC07!$K$2="Pass",B5_TC07!$K$2="Fail",B5_TC07!$K$2="Blocked",B5_TC07!$K$2="Skipped"),1,0)</f>
        <v>1</v>
      </c>
      <c r="E23" s="5">
        <f>IF(B5_TC07!$K$2="Pass",1,0)</f>
        <v>1</v>
      </c>
      <c r="F23" s="5">
        <f>IF(B5_TC07!$K$2="Fail",1,0)</f>
        <v>0</v>
      </c>
      <c r="G23" s="5">
        <f>IF(B5_TC07!$K$2="Blocked",1,0)</f>
        <v>0</v>
      </c>
      <c r="H23" s="5">
        <f>IF(B5_TC07!$K$2="Skipped",1,0)</f>
        <v>0</v>
      </c>
      <c r="I23" s="5">
        <f>IF(OR(B5_TC07!$K$2="Not Executed",B5_TC07!$K$2=""),1,0)</f>
        <v>0</v>
      </c>
      <c r="J23" s="5">
        <v>1</v>
      </c>
      <c r="K23" s="5">
        <f t="shared" si="0"/>
        <v>1</v>
      </c>
    </row>
    <row r="24" spans="2:11" x14ac:dyDescent="0.25">
      <c r="B24" s="5">
        <v>15</v>
      </c>
      <c r="C24" s="6" t="s">
        <v>35</v>
      </c>
      <c r="D24" s="5">
        <f>IF(OR(B5_TC08!$K$2="Pass",B5_TC08!$K$2="Fail",B5_TC08!$K$2="Blocked",B5_TC08!$K$2="Skipped"),1,0)</f>
        <v>1</v>
      </c>
      <c r="E24" s="5">
        <f>IF(B5_TC08!$K$2="Pass",1,0)</f>
        <v>1</v>
      </c>
      <c r="F24" s="5">
        <f>IF(B5_TC08!$K$2="Fail",1,0)</f>
        <v>0</v>
      </c>
      <c r="G24" s="5">
        <f>IF(B5_TC08!$K$2="Blocked",1,0)</f>
        <v>0</v>
      </c>
      <c r="H24" s="5">
        <f>IF(B5_TC08!$K$2="Skipped",1,0)</f>
        <v>0</v>
      </c>
      <c r="I24" s="5">
        <f>IF(OR(B5_TC08!$K$2="Not Executed",B5_TC08!$K$2=""),1,0)</f>
        <v>0</v>
      </c>
      <c r="J24" s="5">
        <v>1</v>
      </c>
      <c r="K24" s="5">
        <f t="shared" si="0"/>
        <v>1</v>
      </c>
    </row>
    <row r="25" spans="2:11" x14ac:dyDescent="0.25">
      <c r="B25" s="5">
        <v>16</v>
      </c>
      <c r="C25" s="6" t="s">
        <v>36</v>
      </c>
      <c r="D25" s="5">
        <f>IF(OR(B5_TC09!$K$2="Pass",B5_TC09!$K$2="Fail",B5_TC09!$K$2="Blocked",B5_TC09!$K$2="Skipped"),1,0)</f>
        <v>1</v>
      </c>
      <c r="E25" s="5">
        <f>IF(B5_TC09!$K$2="Pass",1,0)</f>
        <v>1</v>
      </c>
      <c r="F25" s="5">
        <f>IF(B5_TC09!$K$2="Fail",1,0)</f>
        <v>0</v>
      </c>
      <c r="G25" s="5">
        <f>IF(B5_TC09!$K$2="Blocked",1,0)</f>
        <v>0</v>
      </c>
      <c r="H25" s="5">
        <f>IF(B5_TC09!$K$2="Skipped",1,0)</f>
        <v>0</v>
      </c>
      <c r="I25" s="5">
        <f>IF(OR(B5_TC09!$K$2="Not Executed",B5_TC09!$K$2=""),1,0)</f>
        <v>0</v>
      </c>
      <c r="J25" s="5">
        <v>1</v>
      </c>
      <c r="K25" s="5">
        <f t="shared" si="0"/>
        <v>1</v>
      </c>
    </row>
    <row r="26" spans="2:11" x14ac:dyDescent="0.25">
      <c r="B26" s="5">
        <v>17</v>
      </c>
      <c r="C26" s="6" t="s">
        <v>37</v>
      </c>
      <c r="D26" s="5">
        <f>IF(OR(B5_TC10!$K$2="Pass",B5_TC10!$K$2="Fail",B5_TC10!$K$2="Blocked",B5_TC10!$K$2="Skipped"),1,0)</f>
        <v>1</v>
      </c>
      <c r="E26" s="5">
        <f>IF(B5_TC10!$K$2="Pass",1,0)</f>
        <v>1</v>
      </c>
      <c r="F26" s="5">
        <f>IF(B5_TC10!$K$2="Fail",1,0)</f>
        <v>0</v>
      </c>
      <c r="G26" s="5">
        <f>IF(B5_TC10!$K$2="Blocked",1,0)</f>
        <v>0</v>
      </c>
      <c r="H26" s="5">
        <f>IF(B5_TC10!$K$2="Skipped",1,0)</f>
        <v>0</v>
      </c>
      <c r="I26" s="5">
        <f>IF(OR(B5_TC10!$K$2="Not Executed",B5_TC10!$K$2=""),1,0)</f>
        <v>0</v>
      </c>
      <c r="J26" s="5">
        <v>1</v>
      </c>
      <c r="K26" s="5">
        <f t="shared" si="0"/>
        <v>1</v>
      </c>
    </row>
    <row r="27" spans="2:11" x14ac:dyDescent="0.25">
      <c r="B27" s="5">
        <v>18</v>
      </c>
      <c r="C27" s="6" t="s">
        <v>38</v>
      </c>
      <c r="D27" s="5">
        <f>IF(OR(B5_TC11!$K$2="Pass",B5_TC11!$K$2="Fail",B5_TC11!$K$2="Blocked",B5_TC11!$K$2="Skipped"),1,0)</f>
        <v>1</v>
      </c>
      <c r="E27" s="5">
        <f>IF(B5_TC11!$K$2="Pass",1,0)</f>
        <v>1</v>
      </c>
      <c r="F27" s="5">
        <f>IF(B5_TC11!$K$2="Fail",1,0)</f>
        <v>0</v>
      </c>
      <c r="G27" s="5">
        <f>IF(B5_TC11!$K$2="Blocked",1,0)</f>
        <v>0</v>
      </c>
      <c r="H27" s="5">
        <f>IF(B5_TC11!$K$2="Skipped",1,0)</f>
        <v>0</v>
      </c>
      <c r="I27" s="5">
        <f>IF(OR(B5_TC11!$K$2="Not Executed",B5_TC11!$K$2=""),1,0)</f>
        <v>0</v>
      </c>
      <c r="J27" s="5">
        <v>1</v>
      </c>
      <c r="K27" s="5">
        <f t="shared" si="0"/>
        <v>1</v>
      </c>
    </row>
    <row r="28" spans="2:11" x14ac:dyDescent="0.25">
      <c r="B28" s="5">
        <v>19</v>
      </c>
      <c r="C28" s="6" t="s">
        <v>39</v>
      </c>
      <c r="D28" s="5">
        <f>IF(OR(B5_TC12!$K$2="Pass",B5_TC12!$K$2="Fail",B5_TC12!$K$2="Blocked",B5_TC12!$K$2="Skipped"),1,0)</f>
        <v>1</v>
      </c>
      <c r="E28" s="5">
        <f>IF(B5_TC12!$K$2="Pass",1,0)</f>
        <v>1</v>
      </c>
      <c r="F28" s="5">
        <f>IF(B5_TC12!$K$2="Fail",1,0)</f>
        <v>0</v>
      </c>
      <c r="G28" s="5">
        <f>IF(B5_TC12!$K$2="Blocked",1,0)</f>
        <v>0</v>
      </c>
      <c r="H28" s="5">
        <f>IF(B5_TC12!$K$2="Skipped",1,0)</f>
        <v>0</v>
      </c>
      <c r="I28" s="5">
        <f>IF(OR(B5_TC12!$K$2="Not Executed",B5_TC12!$K$2=""),1,0)</f>
        <v>0</v>
      </c>
      <c r="J28" s="5">
        <v>1</v>
      </c>
      <c r="K28" s="5">
        <f t="shared" si="0"/>
        <v>1</v>
      </c>
    </row>
    <row r="29" spans="2:11" x14ac:dyDescent="0.25">
      <c r="B29" s="5">
        <v>20</v>
      </c>
      <c r="C29" s="6" t="s">
        <v>40</v>
      </c>
      <c r="D29" s="5">
        <f>IF(OR(B5_TC13!$K$2="Pass",B5_TC13!$K$2="Fail",B5_TC13!$K$2="Blocked",B5_TC13!$K$2="Skipped"),1,0)</f>
        <v>1</v>
      </c>
      <c r="E29" s="5">
        <f>IF(B5_TC13!$K$2="Pass",1,0)</f>
        <v>1</v>
      </c>
      <c r="F29" s="5">
        <f>IF(B5_TC13!$K$2="Fail",1,0)</f>
        <v>0</v>
      </c>
      <c r="G29" s="5">
        <f>IF(B5_TC13!$K$2="Blocked",1,0)</f>
        <v>0</v>
      </c>
      <c r="H29" s="5">
        <f>IF(B5_TC13!$K$2="Skipped",1,0)</f>
        <v>0</v>
      </c>
      <c r="I29" s="5">
        <f>IF(OR(B5_TC13!$K$2="Not Executed",B5_TC13!$K$2=""),1,0)</f>
        <v>0</v>
      </c>
      <c r="J29" s="5">
        <v>1</v>
      </c>
      <c r="K29" s="5">
        <f t="shared" si="0"/>
        <v>1</v>
      </c>
    </row>
    <row r="30" spans="2:11" x14ac:dyDescent="0.25">
      <c r="B30" s="5">
        <v>21</v>
      </c>
      <c r="C30" s="6" t="s">
        <v>41</v>
      </c>
      <c r="D30" s="5">
        <f>IF(OR(B5_TC14!$K$2="Pass",B5_TC14!$K$2="Fail",B5_TC14!$K$2="Blocked",B5_TC14!$K$2="Skipped"),1,0)</f>
        <v>1</v>
      </c>
      <c r="E30" s="5">
        <f>IF(B5_TC14!$K$2="Pass",1,0)</f>
        <v>1</v>
      </c>
      <c r="F30" s="5">
        <f>IF(B5_TC14!$K$2="Fail",1,0)</f>
        <v>0</v>
      </c>
      <c r="G30" s="5">
        <f>IF(B5_TC14!$K$2="Blocked",1,0)</f>
        <v>0</v>
      </c>
      <c r="H30" s="5">
        <f>IF(B5_TC14!$K$2="Skipped",1,0)</f>
        <v>0</v>
      </c>
      <c r="I30" s="5">
        <f>IF(OR(B5_TC14!$K$2="Not Executed",B5_TC14!$K$2=""),1,0)</f>
        <v>0</v>
      </c>
      <c r="J30" s="5">
        <v>1</v>
      </c>
      <c r="K30" s="5">
        <f t="shared" si="0"/>
        <v>1</v>
      </c>
    </row>
    <row r="31" spans="2:11" x14ac:dyDescent="0.25">
      <c r="B31" s="5">
        <v>22</v>
      </c>
      <c r="C31" s="6" t="s">
        <v>42</v>
      </c>
      <c r="D31" s="5">
        <f>IF(OR(B5_TC15!$K$2="Pass",B5_TC15!$K$2="Fail",B5_TC15!$K$2="Blocked",B5_TC15!$K$2="Skipped"),1,0)</f>
        <v>1</v>
      </c>
      <c r="E31" s="5">
        <f>IF(B5_TC15!$K$2="Pass",1,0)</f>
        <v>1</v>
      </c>
      <c r="F31" s="5">
        <f>IF(B5_TC15!$K$2="Fail",1,0)</f>
        <v>0</v>
      </c>
      <c r="G31" s="5">
        <f>IF(B5_TC15!$K$2="Blocked",1,0)</f>
        <v>0</v>
      </c>
      <c r="H31" s="5">
        <f>IF(B5_TC15!$K$2="Skipped",1,0)</f>
        <v>0</v>
      </c>
      <c r="I31" s="5">
        <f>IF(OR(B5_TC15!$K$2="Not Executed",B5_TC15!$K$2=""),1,0)</f>
        <v>0</v>
      </c>
      <c r="J31" s="5">
        <v>1</v>
      </c>
      <c r="K31" s="5">
        <f t="shared" si="0"/>
        <v>1</v>
      </c>
    </row>
    <row r="32" spans="2:11" x14ac:dyDescent="0.25">
      <c r="B32" s="5">
        <v>23</v>
      </c>
      <c r="C32" s="6" t="s">
        <v>43</v>
      </c>
      <c r="D32" s="5">
        <f>IF(OR(B5_TC16!$K$2="Pass",B5_TC16!$K$2="Fail",B5_TC16!$K$2="Blocked",B5_TC16!$K$2="Skipped"),1,0)</f>
        <v>1</v>
      </c>
      <c r="E32" s="5">
        <f>IF(B5_TC16!$K$2="Pass",1,0)</f>
        <v>1</v>
      </c>
      <c r="F32" s="5">
        <f>IF(B5_TC16!$K$2="Fail",1,0)</f>
        <v>0</v>
      </c>
      <c r="G32" s="5">
        <f>IF(B5_TC16!$K$2="Blocked",1,0)</f>
        <v>0</v>
      </c>
      <c r="H32" s="5">
        <f>IF(B5_TC16!$K$2="Skipped",1,0)</f>
        <v>0</v>
      </c>
      <c r="I32" s="5">
        <f>IF(OR(B5_TC16!$K$2="Not Executed",B5_TC16!$K$2=""),1,0)</f>
        <v>0</v>
      </c>
      <c r="J32" s="5">
        <v>1</v>
      </c>
      <c r="K32" s="5">
        <f t="shared" si="0"/>
        <v>1</v>
      </c>
    </row>
    <row r="33" spans="2:11" x14ac:dyDescent="0.25">
      <c r="B33" s="5">
        <v>24</v>
      </c>
      <c r="C33" s="6" t="s">
        <v>44</v>
      </c>
      <c r="D33" s="5">
        <f>IF(OR(B5_TC17!$K$2="Pass",B5_TC17!$K$2="Fail",B5_TC17!$K$2="Blocked",B5_TC17!$K$2="Skipped"),1,0)</f>
        <v>1</v>
      </c>
      <c r="E33" s="5">
        <f>IF(B5_TC17!$K$2="Pass",1,0)</f>
        <v>1</v>
      </c>
      <c r="F33" s="5">
        <f>IF(B5_TC17!$K$2="Fail",1,0)</f>
        <v>0</v>
      </c>
      <c r="G33" s="5">
        <f>IF(B5_TC17!$K$2="Blocked",1,0)</f>
        <v>0</v>
      </c>
      <c r="H33" s="5">
        <f>IF(B5_TC17!$K$2="Skipped",1,0)</f>
        <v>0</v>
      </c>
      <c r="I33" s="5">
        <f>IF(OR(B5_TC17!$K$2="Not Executed",B5_TC17!$K$2=""),1,0)</f>
        <v>0</v>
      </c>
      <c r="J33" s="5">
        <v>1</v>
      </c>
      <c r="K33" s="5">
        <f t="shared" si="0"/>
        <v>1</v>
      </c>
    </row>
    <row r="34" spans="2:11" x14ac:dyDescent="0.25">
      <c r="B34" s="5">
        <v>25</v>
      </c>
      <c r="C34" s="6" t="s">
        <v>45</v>
      </c>
      <c r="D34" s="5">
        <f>IF(OR(B5_TC18!$K$2="Pass",B5_TC18!$K$2="Fail",B5_TC18!$K$2="Blocked",B5_TC18!$K$2="Skipped"),1,0)</f>
        <v>1</v>
      </c>
      <c r="E34" s="5">
        <f>IF(B5_TC18!$K$2="Pass",1,0)</f>
        <v>1</v>
      </c>
      <c r="F34" s="5">
        <f>IF(B5_TC18!$K$2="Fail",1,0)</f>
        <v>0</v>
      </c>
      <c r="G34" s="5">
        <f>IF(B5_TC18!$K$2="Blocked",1,0)</f>
        <v>0</v>
      </c>
      <c r="H34" s="5">
        <f>IF(B5_TC18!$K$2="Skipped",1,0)</f>
        <v>0</v>
      </c>
      <c r="I34" s="5">
        <f>IF(OR(B5_TC18!$K$2="Not Executed",B5_TC18!$K$2=""),1,0)</f>
        <v>0</v>
      </c>
      <c r="J34" s="5">
        <v>1</v>
      </c>
      <c r="K34" s="5">
        <f t="shared" si="0"/>
        <v>1</v>
      </c>
    </row>
    <row r="35" spans="2:11" x14ac:dyDescent="0.25">
      <c r="B35" s="5">
        <v>26</v>
      </c>
      <c r="C35" s="6" t="s">
        <v>46</v>
      </c>
      <c r="D35" s="5">
        <f>IF(OR(B5_TC19!$K$2="Pass",B5_TC19!$K$2="Fail",B5_TC19!$K$2="Blocked",B5_TC19!$K$2="Skipped"),1,0)</f>
        <v>1</v>
      </c>
      <c r="E35" s="5">
        <f>IF(B5_TC19!$K$2="Pass",1,0)</f>
        <v>1</v>
      </c>
      <c r="F35" s="5">
        <f>IF(B5_TC19!$K$2="Fail",1,0)</f>
        <v>0</v>
      </c>
      <c r="G35" s="5">
        <f>IF(B5_TC19!$K$2="Blocked",1,0)</f>
        <v>0</v>
      </c>
      <c r="H35" s="5">
        <f>IF(B5_TC19!$K$2="Skipped",1,0)</f>
        <v>0</v>
      </c>
      <c r="I35" s="5">
        <f>IF(OR(B5_TC19!$K$2="Not Executed",B5_TC19!$K$2=""),1,0)</f>
        <v>0</v>
      </c>
      <c r="J35" s="5">
        <v>1</v>
      </c>
      <c r="K35" s="5">
        <f t="shared" si="0"/>
        <v>1</v>
      </c>
    </row>
    <row r="36" spans="2:11" x14ac:dyDescent="0.25">
      <c r="B36" s="5">
        <v>27</v>
      </c>
      <c r="C36" s="6" t="s">
        <v>47</v>
      </c>
      <c r="D36" s="5">
        <f>IF(OR(B5_TC20!$K$2="Pass",B5_TC20!$K$2="Fail",B5_TC20!$K$2="Blocked",B5_TC20!$K$2="Skipped"),1,0)</f>
        <v>1</v>
      </c>
      <c r="E36" s="5">
        <f>IF(B5_TC20!$K$2="Pass",1,0)</f>
        <v>1</v>
      </c>
      <c r="F36" s="5">
        <f>IF(B5_TC20!$K$2="Fail",1,0)</f>
        <v>0</v>
      </c>
      <c r="G36" s="5">
        <f>IF(B5_TC20!$K$2="Blocked",1,0)</f>
        <v>0</v>
      </c>
      <c r="H36" s="5">
        <f>IF(B5_TC20!$K$2="Skipped",1,0)</f>
        <v>0</v>
      </c>
      <c r="I36" s="5">
        <f>IF(OR(B5_TC20!$K$2="Not Executed",B5_TC20!$K$2=""),1,0)</f>
        <v>0</v>
      </c>
      <c r="J36" s="5">
        <v>1</v>
      </c>
      <c r="K36" s="5">
        <f t="shared" si="0"/>
        <v>1</v>
      </c>
    </row>
    <row r="37" spans="2:11" x14ac:dyDescent="0.25">
      <c r="B37" s="5">
        <v>28</v>
      </c>
      <c r="C37" s="6" t="s">
        <v>48</v>
      </c>
      <c r="D37" s="5">
        <f>IF(OR(B5_TC21!$K$2="Pass",B5_TC21!$K$2="Fail",B5_TC21!$K$2="Blocked",B5_TC21!$K$2="Skipped"),1,0)</f>
        <v>1</v>
      </c>
      <c r="E37" s="5">
        <f>IF(B5_TC21!$K$2="Pass",1,0)</f>
        <v>1</v>
      </c>
      <c r="F37" s="5">
        <f>IF(B5_TC21!$K$2="Fail",1,0)</f>
        <v>0</v>
      </c>
      <c r="G37" s="5">
        <f>IF(B5_TC21!$K$2="Blocked",1,0)</f>
        <v>0</v>
      </c>
      <c r="H37" s="5">
        <f>IF(B5_TC21!$K$2="Skipped",1,0)</f>
        <v>0</v>
      </c>
      <c r="I37" s="5">
        <f>IF(OR(B5_TC21!$K$2="Not Executed",B5_TC21!$K$2=""),1,0)</f>
        <v>0</v>
      </c>
      <c r="J37" s="5">
        <v>1</v>
      </c>
      <c r="K37" s="5">
        <f t="shared" si="0"/>
        <v>1</v>
      </c>
    </row>
    <row r="38" spans="2:11" x14ac:dyDescent="0.25">
      <c r="B38" s="5">
        <v>29</v>
      </c>
      <c r="C38" s="6" t="s">
        <v>49</v>
      </c>
      <c r="D38" s="5">
        <f>IF(OR(B5_TC22!$K$2="Pass",B5_TC22!$K$2="Fail",B5_TC22!$K$2="Blocked",B5_TC22!$K$2="Skipped"),1,0)</f>
        <v>1</v>
      </c>
      <c r="E38" s="5">
        <f>IF(B5_TC22!$K$2="Pass",1,0)</f>
        <v>1</v>
      </c>
      <c r="F38" s="5">
        <f>IF(B5_TC22!$K$2="Fail",1,0)</f>
        <v>0</v>
      </c>
      <c r="G38" s="5">
        <f>IF(B5_TC22!$K$2="Blocked",1,0)</f>
        <v>0</v>
      </c>
      <c r="H38" s="5">
        <f>IF(B5_TC22!$K$2="Skipped",1,0)</f>
        <v>0</v>
      </c>
      <c r="I38" s="5">
        <f>IF(OR(B5_TC22!$K$2="Not Executed",B5_TC22!$K$2=""),1,0)</f>
        <v>0</v>
      </c>
      <c r="J38" s="5">
        <v>1</v>
      </c>
      <c r="K38" s="5">
        <f t="shared" si="0"/>
        <v>1</v>
      </c>
    </row>
    <row r="39" spans="2:11" x14ac:dyDescent="0.25">
      <c r="B39" s="5">
        <v>30</v>
      </c>
      <c r="C39" s="6" t="s">
        <v>50</v>
      </c>
      <c r="D39" s="5">
        <f>IF(OR(B5_TC23!$K$2="Pass",B5_TC23!$K$2="Fail",B5_TC23!$K$2="Blocked",B5_TC23!$K$2="Skipped"),1,0)</f>
        <v>1</v>
      </c>
      <c r="E39" s="5">
        <f>IF(B5_TC23!$K$2="Pass",1,0)</f>
        <v>1</v>
      </c>
      <c r="F39" s="5">
        <f>IF(B5_TC23!$K$2="Fail",1,0)</f>
        <v>0</v>
      </c>
      <c r="G39" s="5">
        <f>IF(B5_TC23!$K$2="Blocked",1,0)</f>
        <v>0</v>
      </c>
      <c r="H39" s="5">
        <f>IF(B5_TC23!$K$2="Skipped",1,0)</f>
        <v>0</v>
      </c>
      <c r="I39" s="5">
        <f>IF(OR(B5_TC23!$K$2="Not Executed",B5_TC23!$K$2=""),1,0)</f>
        <v>0</v>
      </c>
      <c r="J39" s="5">
        <v>1</v>
      </c>
      <c r="K39" s="5">
        <f t="shared" si="0"/>
        <v>1</v>
      </c>
    </row>
    <row r="40" spans="2:11" x14ac:dyDescent="0.25">
      <c r="B40" s="5">
        <v>31</v>
      </c>
      <c r="C40" s="6" t="s">
        <v>51</v>
      </c>
      <c r="D40" s="5">
        <f>IF(OR(B5_TC24!$K$2="Pass",B5_TC24!$K$2="Fail",B5_TC24!$K$2="Blocked",B5_TC24!$K$2="Skipped"),1,0)</f>
        <v>1</v>
      </c>
      <c r="E40" s="5">
        <f>IF(B5_TC24!$K$2="Pass",1,0)</f>
        <v>1</v>
      </c>
      <c r="F40" s="5">
        <f>IF(B5_TC24!$K$2="Fail",1,0)</f>
        <v>0</v>
      </c>
      <c r="G40" s="5">
        <f>IF(B5_TC24!$K$2="Blocked",1,0)</f>
        <v>0</v>
      </c>
      <c r="H40" s="5">
        <f>IF(B5_TC24!$K$2="Skipped",1,0)</f>
        <v>0</v>
      </c>
      <c r="I40" s="5">
        <f>IF(OR(B5_TC24!$K$2="Not Executed",B5_TC24!$K$2=""),1,0)</f>
        <v>0</v>
      </c>
      <c r="J40" s="5">
        <v>1</v>
      </c>
      <c r="K40" s="5">
        <f t="shared" si="0"/>
        <v>1</v>
      </c>
    </row>
    <row r="41" spans="2:11" x14ac:dyDescent="0.25">
      <c r="B41" s="5">
        <v>32</v>
      </c>
      <c r="C41" s="6" t="s">
        <v>52</v>
      </c>
      <c r="D41" s="5">
        <f>IF(OR(B5_TC25!$K$2="Pass",B5_TC25!$K$2="Fail",B5_TC25!$K$2="Blocked",B5_TC25!$K$2="Skipped"),1,0)</f>
        <v>1</v>
      </c>
      <c r="E41" s="5">
        <f>IF(B5_TC25!$K$2="Pass",1,0)</f>
        <v>1</v>
      </c>
      <c r="F41" s="5">
        <f>IF(B5_TC25!$K$2="Fail",1,0)</f>
        <v>0</v>
      </c>
      <c r="G41" s="5">
        <f>IF(B5_TC25!$K$2="Blocked",1,0)</f>
        <v>0</v>
      </c>
      <c r="H41" s="5">
        <f>IF(B5_TC25!$K$2="Skipped",1,0)</f>
        <v>0</v>
      </c>
      <c r="I41" s="5">
        <f>IF(OR(B5_TC25!$K$2="Not Executed",B5_TC25!$K$2=""),1,0)</f>
        <v>0</v>
      </c>
      <c r="J41" s="5">
        <v>1</v>
      </c>
      <c r="K41" s="5">
        <f t="shared" si="0"/>
        <v>1</v>
      </c>
    </row>
    <row r="42" spans="2:11" x14ac:dyDescent="0.25">
      <c r="B42" s="5">
        <v>33</v>
      </c>
      <c r="C42" s="6" t="s">
        <v>53</v>
      </c>
      <c r="D42" s="5">
        <f>IF(OR(B5_TC26!$K$2="Pass",B5_TC26!$K$2="Fail",B5_TC26!$K$2="Blocked",B5_TC26!$K$2="Skipped"),1,0)</f>
        <v>1</v>
      </c>
      <c r="E42" s="5">
        <f>IF(B5_TC26!$K$2="Pass",1,0)</f>
        <v>1</v>
      </c>
      <c r="F42" s="5">
        <f>IF(B5_TC26!$K$2="Fail",1,0)</f>
        <v>0</v>
      </c>
      <c r="G42" s="5">
        <f>IF(B5_TC26!$K$2="Blocked",1,0)</f>
        <v>0</v>
      </c>
      <c r="H42" s="5">
        <f>IF(B5_TC26!$K$2="Skipped",1,0)</f>
        <v>0</v>
      </c>
      <c r="I42" s="5">
        <f>IF(OR(B5_TC26!$K$2="Not Executed",B5_TC26!$K$2=""),1,0)</f>
        <v>0</v>
      </c>
      <c r="J42" s="5">
        <v>1</v>
      </c>
      <c r="K42" s="5">
        <f t="shared" si="0"/>
        <v>1</v>
      </c>
    </row>
    <row r="43" spans="2:11" x14ac:dyDescent="0.25">
      <c r="B43" s="5">
        <v>34</v>
      </c>
      <c r="C43" s="6" t="s">
        <v>54</v>
      </c>
      <c r="D43" s="5">
        <f>IF(OR(B5_TC27!$K$2="Pass",B5_TC27!$K$2="Fail",B5_TC27!$K$2="Blocked",B5_TC27!$K$2="Skipped"),1,0)</f>
        <v>1</v>
      </c>
      <c r="E43" s="5">
        <f>IF(B5_TC27!$K$2="Pass",1,0)</f>
        <v>1</v>
      </c>
      <c r="F43" s="5">
        <f>IF(B5_TC27!$K$2="Fail",1,0)</f>
        <v>0</v>
      </c>
      <c r="G43" s="5">
        <f>IF(B5_TC27!$K$2="Blocked",1,0)</f>
        <v>0</v>
      </c>
      <c r="H43" s="5">
        <f>IF(B5_TC27!$K$2="Skipped",1,0)</f>
        <v>0</v>
      </c>
      <c r="I43" s="5">
        <f>IF(OR(B5_TC27!$K$2="Not Executed",B5_TC27!$K$2=""),1,0)</f>
        <v>0</v>
      </c>
      <c r="J43" s="5">
        <v>1</v>
      </c>
      <c r="K43" s="5">
        <f t="shared" si="0"/>
        <v>1</v>
      </c>
    </row>
    <row r="44" spans="2:11" x14ac:dyDescent="0.25">
      <c r="B44" s="5">
        <v>35</v>
      </c>
      <c r="C44" s="6" t="s">
        <v>55</v>
      </c>
      <c r="D44" s="5">
        <f>IF(OR(B5_TC28!$K$2="Pass",B5_TC28!$K$2="Fail",B5_TC28!$K$2="Blocked",B5_TC28!$K$2="Skipped"),1,0)</f>
        <v>1</v>
      </c>
      <c r="E44" s="5">
        <f>IF(B5_TC28!$K$2="Pass",1,0)</f>
        <v>1</v>
      </c>
      <c r="F44" s="5">
        <f>IF(B5_TC28!$K$2="Fail",1,0)</f>
        <v>0</v>
      </c>
      <c r="G44" s="5">
        <f>IF(B5_TC28!$K$2="Blocked",1,0)</f>
        <v>0</v>
      </c>
      <c r="H44" s="5">
        <f>IF(B5_TC28!$K$2="Skipped",1,0)</f>
        <v>0</v>
      </c>
      <c r="I44" s="5">
        <f>IF(OR(B5_TC28!$K$2="Not Executed",B5_TC28!$K$2=""),1,0)</f>
        <v>0</v>
      </c>
      <c r="J44" s="5">
        <v>1</v>
      </c>
      <c r="K44" s="5">
        <f t="shared" si="0"/>
        <v>1</v>
      </c>
    </row>
    <row r="45" spans="2:11" x14ac:dyDescent="0.25">
      <c r="B45" s="5">
        <v>36</v>
      </c>
      <c r="C45" s="6" t="s">
        <v>56</v>
      </c>
      <c r="D45" s="5">
        <f>IF(OR(B5_TC29!$K$2="Pass",B5_TC29!$K$2="Fail",B5_TC29!$K$2="Blocked",B5_TC29!$K$2="Skipped"),1,0)</f>
        <v>1</v>
      </c>
      <c r="E45" s="5">
        <f>IF(B5_TC29!$K$2="Pass",1,0)</f>
        <v>1</v>
      </c>
      <c r="F45" s="5">
        <f>IF(B5_TC29!$K$2="Fail",1,0)</f>
        <v>0</v>
      </c>
      <c r="G45" s="5">
        <f>IF(B5_TC29!$K$2="Blocked",1,0)</f>
        <v>0</v>
      </c>
      <c r="H45" s="5">
        <f>IF(B5_TC29!$K$2="Skipped",1,0)</f>
        <v>0</v>
      </c>
      <c r="I45" s="5">
        <f>IF(OR(B5_TC29!$K$2="Not Executed",B5_TC29!$K$2=""),1,0)</f>
        <v>0</v>
      </c>
      <c r="J45" s="5">
        <v>1</v>
      </c>
      <c r="K45" s="5">
        <f t="shared" si="0"/>
        <v>1</v>
      </c>
    </row>
    <row r="46" spans="2:11" x14ac:dyDescent="0.25">
      <c r="B46" s="5">
        <v>37</v>
      </c>
      <c r="C46" s="6" t="s">
        <v>57</v>
      </c>
      <c r="D46" s="5">
        <f>IF(OR(B5_TC30!$K$2="Pass",B5_TC30!$K$2="Fail",B5_TC30!$K$2="Blocked",B5_TC30!$K$2="Skipped"),1,0)</f>
        <v>1</v>
      </c>
      <c r="E46" s="5">
        <f>IF(B5_TC30!$K$2="Pass",1,0)</f>
        <v>1</v>
      </c>
      <c r="F46" s="5">
        <f>IF(B5_TC30!$K$2="Fail",1,0)</f>
        <v>0</v>
      </c>
      <c r="G46" s="5">
        <f>IF(B5_TC30!$K$2="Blocked",1,0)</f>
        <v>0</v>
      </c>
      <c r="H46" s="5">
        <f>IF(B5_TC30!$K$2="Skipped",1,0)</f>
        <v>0</v>
      </c>
      <c r="I46" s="5">
        <f>IF(OR(B5_TC30!$K$2="Not Executed",B5_TC30!$K$2=""),1,0)</f>
        <v>0</v>
      </c>
      <c r="J46" s="5">
        <v>1</v>
      </c>
      <c r="K46" s="5">
        <f t="shared" si="0"/>
        <v>1</v>
      </c>
    </row>
    <row r="47" spans="2:11" x14ac:dyDescent="0.25">
      <c r="B47" s="5">
        <v>38</v>
      </c>
      <c r="C47" s="6" t="s">
        <v>58</v>
      </c>
      <c r="D47" s="5">
        <f>IF(OR(B5_TC31!$K$2="Pass",B5_TC31!$K$2="Fail",B5_TC31!$K$2="Blocked",B5_TC31!$K$2="Skipped"),1,0)</f>
        <v>1</v>
      </c>
      <c r="E47" s="5">
        <f>IF(B5_TC31!$K$2="Pass",1,0)</f>
        <v>1</v>
      </c>
      <c r="F47" s="5">
        <f>IF(B5_TC31!$K$2="Fail",1,0)</f>
        <v>0</v>
      </c>
      <c r="G47" s="5">
        <f>IF(B5_TC31!$K$2="Blocked",1,0)</f>
        <v>0</v>
      </c>
      <c r="H47" s="5">
        <f>IF(B5_TC31!$K$2="Skipped",1,0)</f>
        <v>0</v>
      </c>
      <c r="I47" s="5">
        <f>IF(OR(B5_TC31!$K$2="Not Executed",B5_TC31!$K$2=""),1,0)</f>
        <v>0</v>
      </c>
      <c r="J47" s="5">
        <v>1</v>
      </c>
      <c r="K47" s="5">
        <f t="shared" si="0"/>
        <v>1</v>
      </c>
    </row>
    <row r="48" spans="2:11" x14ac:dyDescent="0.25">
      <c r="B48" s="5">
        <v>39</v>
      </c>
      <c r="C48" s="6" t="s">
        <v>59</v>
      </c>
      <c r="D48" s="5">
        <f>IF(OR(B5_TC32!$K$2="Pass",B5_TC32!$K$2="Fail",B5_TC32!$K$2="Blocked",B5_TC32!$K$2="Skipped"),1,0)</f>
        <v>1</v>
      </c>
      <c r="E48" s="5">
        <f>IF(B5_TC32!$K$2="Pass",1,0)</f>
        <v>1</v>
      </c>
      <c r="F48" s="5">
        <f>IF(B5_TC32!$K$2="Fail",1,0)</f>
        <v>0</v>
      </c>
      <c r="G48" s="5">
        <f>IF(B5_TC32!$K$2="Blocked",1,0)</f>
        <v>0</v>
      </c>
      <c r="H48" s="5">
        <f>IF(B5_TC32!$K$2="Skipped",1,0)</f>
        <v>0</v>
      </c>
      <c r="I48" s="5">
        <f>IF(OR(B5_TC32!$K$2="Not Executed",B5_TC32!$K$2=""),1,0)</f>
        <v>0</v>
      </c>
      <c r="J48" s="5">
        <v>1</v>
      </c>
      <c r="K48" s="5">
        <f t="shared" si="0"/>
        <v>1</v>
      </c>
    </row>
    <row r="49" spans="2:11" x14ac:dyDescent="0.25">
      <c r="B49" s="5">
        <v>40</v>
      </c>
      <c r="C49" s="6" t="s">
        <v>60</v>
      </c>
      <c r="D49" s="5">
        <f>IF(OR(B5_TC33!$K$2="Pass",B5_TC33!$K$2="Fail",B5_TC33!$K$2="Blocked",B5_TC33!$K$2="Skipped"),1,0)</f>
        <v>1</v>
      </c>
      <c r="E49" s="5">
        <f>IF(B5_TC33!$K$2="Pass",1,0)</f>
        <v>1</v>
      </c>
      <c r="F49" s="5">
        <f>IF(B5_TC33!$K$2="Fail",1,0)</f>
        <v>0</v>
      </c>
      <c r="G49" s="5">
        <f>IF(B5_TC33!$K$2="Blocked",1,0)</f>
        <v>0</v>
      </c>
      <c r="H49" s="5">
        <f>IF(B5_TC33!$K$2="Skipped",1,0)</f>
        <v>0</v>
      </c>
      <c r="I49" s="5">
        <f>IF(OR(B5_TC33!$K$2="Not Executed",B5_TC33!$K$2=""),1,0)</f>
        <v>0</v>
      </c>
      <c r="J49" s="5">
        <v>1</v>
      </c>
      <c r="K49" s="5">
        <f t="shared" si="0"/>
        <v>1</v>
      </c>
    </row>
    <row r="50" spans="2:11" x14ac:dyDescent="0.25">
      <c r="B50" s="5">
        <v>41</v>
      </c>
      <c r="C50" s="6" t="s">
        <v>61</v>
      </c>
      <c r="D50" s="5">
        <f>IF(OR(B5_TC34!$K$2="Pass",B5_TC34!$K$2="Fail",B5_TC34!$K$2="Blocked",B5_TC34!$K$2="Skipped"),1,0)</f>
        <v>1</v>
      </c>
      <c r="E50" s="5">
        <f>IF(B5_TC34!$K$2="Pass",1,0)</f>
        <v>1</v>
      </c>
      <c r="F50" s="5">
        <f>IF(B5_TC34!$K$2="Fail",1,0)</f>
        <v>0</v>
      </c>
      <c r="G50" s="5">
        <f>IF(B5_TC34!$K$2="Blocked",1,0)</f>
        <v>0</v>
      </c>
      <c r="H50" s="5">
        <f>IF(B5_TC34!$K$2="Skipped",1,0)</f>
        <v>0</v>
      </c>
      <c r="I50" s="5">
        <f>IF(OR(B5_TC34!$K$2="Not Executed",B5_TC34!$K$2=""),1,0)</f>
        <v>0</v>
      </c>
      <c r="J50" s="5">
        <v>1</v>
      </c>
      <c r="K50" s="5">
        <f t="shared" si="0"/>
        <v>1</v>
      </c>
    </row>
    <row r="51" spans="2:11" x14ac:dyDescent="0.25">
      <c r="B51" s="5">
        <v>42</v>
      </c>
      <c r="C51" s="6" t="s">
        <v>62</v>
      </c>
      <c r="D51" s="5">
        <f>IF(OR(B5_TC35!$K$2="Pass",B5_TC35!$K$2="Fail",B5_TC35!$K$2="Blocked",B5_TC35!$K$2="Skipped"),1,0)</f>
        <v>1</v>
      </c>
      <c r="E51" s="5">
        <f>IF(B5_TC35!$K$2="Pass",1,0)</f>
        <v>1</v>
      </c>
      <c r="F51" s="5">
        <f>IF(B5_TC35!$K$2="Fail",1,0)</f>
        <v>0</v>
      </c>
      <c r="G51" s="5">
        <f>IF(B5_TC35!$K$2="Blocked",1,0)</f>
        <v>0</v>
      </c>
      <c r="H51" s="5">
        <f>IF(B5_TC35!$K$2="Skipped",1,0)</f>
        <v>0</v>
      </c>
      <c r="I51" s="5">
        <f>IF(OR(B5_TC35!$K$2="Not Executed",B5_TC35!$K$2=""),1,0)</f>
        <v>0</v>
      </c>
      <c r="J51" s="5">
        <v>1</v>
      </c>
      <c r="K51" s="5">
        <f t="shared" si="0"/>
        <v>1</v>
      </c>
    </row>
    <row r="52" spans="2:11" x14ac:dyDescent="0.25">
      <c r="B52" s="5">
        <v>43</v>
      </c>
      <c r="C52" s="6" t="s">
        <v>63</v>
      </c>
      <c r="D52" s="5">
        <f>IF(OR(B5_TC36!$K$2="Pass",B5_TC36!$K$2="Fail",B5_TC36!$K$2="Blocked",B5_TC36!$K$2="Skipped"),1,0)</f>
        <v>1</v>
      </c>
      <c r="E52" s="5">
        <f>IF(B5_TC36!$K$2="Pass",1,0)</f>
        <v>1</v>
      </c>
      <c r="F52" s="5">
        <f>IF(B5_TC36!$K$2="Fail",1,0)</f>
        <v>0</v>
      </c>
      <c r="G52" s="5">
        <f>IF(B5_TC36!$K$2="Blocked",1,0)</f>
        <v>0</v>
      </c>
      <c r="H52" s="5">
        <f>IF(B5_TC36!$K$2="Skipped",1,0)</f>
        <v>0</v>
      </c>
      <c r="I52" s="5">
        <f>IF(OR(B5_TC36!$K$2="Not Executed",B5_TC36!$K$2=""),1,0)</f>
        <v>0</v>
      </c>
      <c r="J52" s="5">
        <v>1</v>
      </c>
      <c r="K52" s="5">
        <f t="shared" si="0"/>
        <v>1</v>
      </c>
    </row>
    <row r="53" spans="2:11" ht="14.4" x14ac:dyDescent="0.3">
      <c r="B53" s="7"/>
      <c r="C53" s="8" t="s">
        <v>19</v>
      </c>
      <c r="D53" s="4">
        <f t="shared" ref="D53:J53" si="1">SUM(D10:D52)</f>
        <v>43</v>
      </c>
      <c r="E53" s="4">
        <f t="shared" si="1"/>
        <v>43</v>
      </c>
      <c r="F53" s="4">
        <f t="shared" si="1"/>
        <v>0</v>
      </c>
      <c r="G53" s="4">
        <f t="shared" si="1"/>
        <v>0</v>
      </c>
      <c r="H53" s="4">
        <f t="shared" si="1"/>
        <v>0</v>
      </c>
      <c r="I53" s="4">
        <f t="shared" si="1"/>
        <v>0</v>
      </c>
      <c r="J53" s="4">
        <f t="shared" si="1"/>
        <v>43</v>
      </c>
      <c r="K53" s="4">
        <f t="shared" si="0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opLeftCell="A13" workbookViewId="0">
      <selection activeCell="G28" sqref="G28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21</v>
      </c>
      <c r="C1" s="2" t="s">
        <v>65</v>
      </c>
      <c r="D1" s="12" t="s">
        <v>66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83</v>
      </c>
      <c r="H9" s="14"/>
      <c r="I9" s="13"/>
    </row>
    <row r="10" spans="1:12" ht="18" customHeight="1" x14ac:dyDescent="0.25">
      <c r="A10" s="10">
        <v>2</v>
      </c>
      <c r="B10" s="12" t="s">
        <v>84</v>
      </c>
      <c r="C10" s="14"/>
      <c r="D10" s="13"/>
      <c r="F10" s="10">
        <v>2</v>
      </c>
      <c r="G10" s="12" t="s">
        <v>85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88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95</v>
      </c>
      <c r="C16" s="14"/>
      <c r="D16" s="13"/>
      <c r="E16" s="12" t="s">
        <v>96</v>
      </c>
      <c r="F16" s="14"/>
      <c r="G16" s="13"/>
      <c r="H16" s="12" t="s">
        <v>96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97</v>
      </c>
      <c r="C17" s="14"/>
      <c r="D17" s="13"/>
      <c r="E17" s="12" t="s">
        <v>98</v>
      </c>
      <c r="F17" s="14"/>
      <c r="G17" s="13"/>
      <c r="H17" s="12" t="s">
        <v>98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100</v>
      </c>
      <c r="F18" s="14"/>
      <c r="G18" s="13"/>
      <c r="H18" s="12" t="s">
        <v>100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8"/>
      <c r="L19" s="19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8"/>
      <c r="L20" s="19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8"/>
      <c r="L21" s="19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8"/>
      <c r="L22" s="19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8"/>
      <c r="L23" s="19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8"/>
      <c r="L24" s="19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8"/>
      <c r="L25" s="19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opLeftCell="C8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22</v>
      </c>
      <c r="C1" s="2" t="s">
        <v>65</v>
      </c>
      <c r="D1" s="12" t="s">
        <v>102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103</v>
      </c>
      <c r="H9" s="14"/>
      <c r="I9" s="13"/>
    </row>
    <row r="10" spans="1:12" ht="18" customHeight="1" x14ac:dyDescent="0.25">
      <c r="A10" s="10">
        <v>2</v>
      </c>
      <c r="B10" s="12" t="s">
        <v>84</v>
      </c>
      <c r="C10" s="14"/>
      <c r="D10" s="13"/>
      <c r="F10" s="10">
        <v>2</v>
      </c>
      <c r="G10" s="12" t="s">
        <v>85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88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104</v>
      </c>
      <c r="C16" s="14"/>
      <c r="D16" s="13"/>
      <c r="E16" s="12" t="s">
        <v>96</v>
      </c>
      <c r="F16" s="14"/>
      <c r="G16" s="13"/>
      <c r="H16" s="12" t="s">
        <v>96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105</v>
      </c>
      <c r="C17" s="14"/>
      <c r="D17" s="13"/>
      <c r="E17" s="12" t="s">
        <v>106</v>
      </c>
      <c r="F17" s="14"/>
      <c r="G17" s="13"/>
      <c r="H17" s="12" t="s">
        <v>106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100</v>
      </c>
      <c r="F18" s="14"/>
      <c r="G18" s="13"/>
      <c r="H18" s="12" t="s">
        <v>100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topLeftCell="B10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23</v>
      </c>
      <c r="C1" s="2" t="s">
        <v>65</v>
      </c>
      <c r="D1" s="12" t="s">
        <v>107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108</v>
      </c>
      <c r="H9" s="14"/>
      <c r="I9" s="13"/>
    </row>
    <row r="10" spans="1:12" ht="18" customHeight="1" x14ac:dyDescent="0.25">
      <c r="A10" s="10">
        <v>2</v>
      </c>
      <c r="B10" s="12" t="s">
        <v>109</v>
      </c>
      <c r="C10" s="14"/>
      <c r="D10" s="13"/>
      <c r="F10" s="10">
        <v>2</v>
      </c>
      <c r="G10" s="12" t="s">
        <v>110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111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112</v>
      </c>
      <c r="C16" s="14"/>
      <c r="D16" s="13"/>
      <c r="E16" s="12" t="s">
        <v>113</v>
      </c>
      <c r="F16" s="14"/>
      <c r="G16" s="13"/>
      <c r="H16" s="12" t="s">
        <v>113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114</v>
      </c>
      <c r="C17" s="14"/>
      <c r="D17" s="13"/>
      <c r="E17" s="12" t="s">
        <v>115</v>
      </c>
      <c r="F17" s="14"/>
      <c r="G17" s="13"/>
      <c r="H17" s="12" t="s">
        <v>115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116</v>
      </c>
      <c r="F18" s="14"/>
      <c r="G18" s="13"/>
      <c r="H18" s="12" t="s">
        <v>116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topLeftCell="C10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24</v>
      </c>
      <c r="C1" s="2" t="s">
        <v>65</v>
      </c>
      <c r="D1" s="12" t="s">
        <v>117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118</v>
      </c>
      <c r="H9" s="14"/>
      <c r="I9" s="13"/>
    </row>
    <row r="10" spans="1:12" ht="18" customHeight="1" x14ac:dyDescent="0.25">
      <c r="A10" s="10">
        <v>2</v>
      </c>
      <c r="B10" s="12" t="s">
        <v>109</v>
      </c>
      <c r="C10" s="14"/>
      <c r="D10" s="13"/>
      <c r="F10" s="10">
        <v>2</v>
      </c>
      <c r="G10" s="12" t="s">
        <v>110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119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112</v>
      </c>
      <c r="C16" s="14"/>
      <c r="D16" s="13"/>
      <c r="E16" s="12" t="s">
        <v>113</v>
      </c>
      <c r="F16" s="14"/>
      <c r="G16" s="13"/>
      <c r="H16" s="12" t="s">
        <v>113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120</v>
      </c>
      <c r="C17" s="14"/>
      <c r="D17" s="13"/>
      <c r="E17" s="12" t="s">
        <v>121</v>
      </c>
      <c r="F17" s="14"/>
      <c r="G17" s="13"/>
      <c r="H17" s="12" t="s">
        <v>121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122</v>
      </c>
      <c r="F18" s="14"/>
      <c r="G18" s="13"/>
      <c r="H18" s="12" t="s">
        <v>122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topLeftCell="D6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25</v>
      </c>
      <c r="C1" s="2" t="s">
        <v>65</v>
      </c>
      <c r="D1" s="12" t="s">
        <v>123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108</v>
      </c>
      <c r="H9" s="14"/>
      <c r="I9" s="13"/>
    </row>
    <row r="10" spans="1:12" ht="18" customHeight="1" x14ac:dyDescent="0.25">
      <c r="A10" s="10">
        <v>2</v>
      </c>
      <c r="B10" s="12" t="s">
        <v>124</v>
      </c>
      <c r="C10" s="14"/>
      <c r="D10" s="13"/>
      <c r="F10" s="10">
        <v>2</v>
      </c>
      <c r="G10" s="12" t="s">
        <v>125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126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127</v>
      </c>
      <c r="C16" s="14"/>
      <c r="D16" s="13"/>
      <c r="E16" s="12" t="s">
        <v>128</v>
      </c>
      <c r="F16" s="14"/>
      <c r="G16" s="13"/>
      <c r="H16" s="12" t="s">
        <v>128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114</v>
      </c>
      <c r="C17" s="14"/>
      <c r="D17" s="13"/>
      <c r="E17" s="12" t="s">
        <v>115</v>
      </c>
      <c r="F17" s="14"/>
      <c r="G17" s="13"/>
      <c r="H17" s="12" t="s">
        <v>115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129</v>
      </c>
      <c r="F18" s="14"/>
      <c r="G18" s="13"/>
      <c r="H18" s="12" t="s">
        <v>129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topLeftCell="D10" workbookViewId="0">
      <selection activeCell="J28" sqref="J28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26</v>
      </c>
      <c r="C1" s="2" t="s">
        <v>65</v>
      </c>
      <c r="D1" s="12" t="s">
        <v>130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131</v>
      </c>
      <c r="H9" s="14"/>
      <c r="I9" s="13"/>
    </row>
    <row r="10" spans="1:12" ht="18" customHeight="1" x14ac:dyDescent="0.25">
      <c r="A10" s="10">
        <v>2</v>
      </c>
      <c r="B10" s="12" t="s">
        <v>124</v>
      </c>
      <c r="C10" s="14"/>
      <c r="D10" s="13"/>
      <c r="F10" s="10">
        <v>2</v>
      </c>
      <c r="G10" s="12" t="s">
        <v>125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132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127</v>
      </c>
      <c r="C16" s="14"/>
      <c r="D16" s="13"/>
      <c r="E16" s="12" t="s">
        <v>128</v>
      </c>
      <c r="F16" s="14"/>
      <c r="G16" s="13"/>
      <c r="H16" s="12" t="s">
        <v>128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133</v>
      </c>
      <c r="C17" s="14"/>
      <c r="D17" s="13"/>
      <c r="E17" s="12" t="s">
        <v>134</v>
      </c>
      <c r="F17" s="14"/>
      <c r="G17" s="13"/>
      <c r="H17" s="12" t="s">
        <v>134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135</v>
      </c>
      <c r="F18" s="14"/>
      <c r="G18" s="13"/>
      <c r="H18" s="12" t="s">
        <v>135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topLeftCell="B9" workbookViewId="0">
      <selection activeCell="H24" sqref="H24:J24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27</v>
      </c>
      <c r="C1" s="2" t="s">
        <v>65</v>
      </c>
      <c r="D1" s="12" t="s">
        <v>136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82</v>
      </c>
      <c r="C9" s="14"/>
      <c r="D9" s="13"/>
      <c r="F9" s="10">
        <v>1</v>
      </c>
      <c r="G9" s="12" t="s">
        <v>137</v>
      </c>
      <c r="H9" s="14"/>
      <c r="I9" s="13"/>
    </row>
    <row r="10" spans="1:12" ht="18" customHeight="1" x14ac:dyDescent="0.25">
      <c r="A10" s="10">
        <v>2</v>
      </c>
      <c r="B10" s="12" t="s">
        <v>109</v>
      </c>
      <c r="C10" s="14"/>
      <c r="D10" s="13"/>
      <c r="F10" s="10">
        <v>2</v>
      </c>
      <c r="G10" s="12" t="s">
        <v>110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87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138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112</v>
      </c>
      <c r="C16" s="14"/>
      <c r="D16" s="13"/>
      <c r="E16" s="12" t="s">
        <v>113</v>
      </c>
      <c r="F16" s="14"/>
      <c r="G16" s="13"/>
      <c r="H16" s="12" t="s">
        <v>113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139</v>
      </c>
      <c r="C17" s="14"/>
      <c r="D17" s="13"/>
      <c r="E17" s="12" t="s">
        <v>140</v>
      </c>
      <c r="F17" s="14"/>
      <c r="G17" s="13"/>
      <c r="H17" s="12" t="s">
        <v>140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99</v>
      </c>
      <c r="C18" s="14"/>
      <c r="D18" s="13"/>
      <c r="E18" s="12" t="s">
        <v>141</v>
      </c>
      <c r="F18" s="14"/>
      <c r="G18" s="13"/>
      <c r="H18" s="12" t="s">
        <v>141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>
      <c r="K26" s="12"/>
      <c r="L26" s="13"/>
    </row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2">
    <mergeCell ref="K26:L26"/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topLeftCell="B6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65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143</v>
      </c>
      <c r="C9" s="14"/>
      <c r="D9" s="13"/>
      <c r="F9" s="10">
        <v>1</v>
      </c>
      <c r="G9" s="12" t="s">
        <v>144</v>
      </c>
      <c r="H9" s="14"/>
      <c r="I9" s="13"/>
    </row>
    <row r="10" spans="1:12" ht="18" customHeight="1" x14ac:dyDescent="0.25">
      <c r="A10" s="10">
        <v>2</v>
      </c>
      <c r="B10" s="12" t="s">
        <v>145</v>
      </c>
      <c r="C10" s="14"/>
      <c r="D10" s="13"/>
      <c r="F10" s="10">
        <v>2</v>
      </c>
      <c r="G10" s="12" t="s">
        <v>146</v>
      </c>
      <c r="H10" s="14"/>
      <c r="I10" s="13"/>
    </row>
    <row r="11" spans="1:12" ht="18" customHeight="1" x14ac:dyDescent="0.25">
      <c r="A11" s="10">
        <v>3</v>
      </c>
      <c r="B11" s="12" t="s">
        <v>147</v>
      </c>
      <c r="C11" s="14"/>
      <c r="D11" s="13"/>
      <c r="F11" s="10">
        <v>3</v>
      </c>
      <c r="G11" s="12" t="s">
        <v>148</v>
      </c>
      <c r="H11" s="14"/>
      <c r="I11" s="13"/>
    </row>
    <row r="12" spans="1:12" ht="18" customHeight="1" x14ac:dyDescent="0.25">
      <c r="A12" s="10">
        <v>4</v>
      </c>
      <c r="B12" s="12" t="s">
        <v>149</v>
      </c>
      <c r="C12" s="14"/>
      <c r="D12" s="13"/>
      <c r="F12" s="10">
        <v>4</v>
      </c>
      <c r="G12" s="12" t="s">
        <v>150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151</v>
      </c>
      <c r="C16" s="14"/>
      <c r="D16" s="13"/>
      <c r="E16" s="12" t="s">
        <v>152</v>
      </c>
      <c r="F16" s="14"/>
      <c r="G16" s="13"/>
      <c r="H16" s="12" t="s">
        <v>152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154</v>
      </c>
      <c r="F17" s="14"/>
      <c r="G17" s="13"/>
      <c r="H17" s="12" t="s">
        <v>154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155</v>
      </c>
      <c r="C18" s="14"/>
      <c r="D18" s="13"/>
      <c r="E18" s="12" t="s">
        <v>156</v>
      </c>
      <c r="F18" s="14"/>
      <c r="G18" s="13"/>
      <c r="H18" s="12" t="s">
        <v>156</v>
      </c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"/>
  <sheetViews>
    <sheetView topLeftCell="C10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29</v>
      </c>
      <c r="C1" s="2" t="s">
        <v>65</v>
      </c>
      <c r="D1" s="12" t="s">
        <v>157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158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162</v>
      </c>
      <c r="C16" s="14"/>
      <c r="D16" s="13"/>
      <c r="E16" s="12" t="s">
        <v>163</v>
      </c>
      <c r="F16" s="14"/>
      <c r="G16" s="13"/>
      <c r="H16" s="12" t="s">
        <v>163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164</v>
      </c>
      <c r="F17" s="14"/>
      <c r="G17" s="13"/>
      <c r="H17" s="12" t="s">
        <v>164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topLeftCell="B9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30</v>
      </c>
      <c r="C1" s="2" t="s">
        <v>65</v>
      </c>
      <c r="D1" s="12" t="s">
        <v>165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166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167</v>
      </c>
      <c r="C16" s="14"/>
      <c r="D16" s="13"/>
      <c r="E16" s="12" t="s">
        <v>168</v>
      </c>
      <c r="F16" s="14"/>
      <c r="G16" s="13"/>
      <c r="H16" s="12" t="s">
        <v>168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169</v>
      </c>
      <c r="F17" s="14"/>
      <c r="G17" s="13"/>
      <c r="H17" s="12" t="s">
        <v>169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9"/>
  <sheetViews>
    <sheetView topLeftCell="B14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31</v>
      </c>
      <c r="C1" s="2" t="s">
        <v>65</v>
      </c>
      <c r="D1" s="12" t="s">
        <v>170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171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172</v>
      </c>
      <c r="C16" s="14"/>
      <c r="D16" s="13"/>
      <c r="E16" s="12" t="s">
        <v>173</v>
      </c>
      <c r="F16" s="14"/>
      <c r="G16" s="13"/>
      <c r="H16" s="12" t="s">
        <v>173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174</v>
      </c>
      <c r="F17" s="14"/>
      <c r="G17" s="13"/>
      <c r="H17" s="12" t="s">
        <v>174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9"/>
  <sheetViews>
    <sheetView topLeftCell="D8" workbookViewId="0">
      <selection activeCell="K22" sqref="K22:L22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32</v>
      </c>
      <c r="C1" s="2" t="s">
        <v>65</v>
      </c>
      <c r="D1" s="12" t="s">
        <v>175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176</v>
      </c>
      <c r="C9" s="14"/>
      <c r="D9" s="13"/>
      <c r="F9" s="10">
        <v>1</v>
      </c>
      <c r="G9" s="12" t="s">
        <v>177</v>
      </c>
      <c r="H9" s="14"/>
      <c r="I9" s="13"/>
    </row>
    <row r="10" spans="1:12" ht="18" customHeight="1" x14ac:dyDescent="0.25">
      <c r="A10" s="10">
        <v>2</v>
      </c>
      <c r="B10" s="12" t="s">
        <v>149</v>
      </c>
      <c r="C10" s="14"/>
      <c r="D10" s="13"/>
      <c r="F10" s="10">
        <v>2</v>
      </c>
      <c r="G10" s="12" t="s">
        <v>178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150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160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179</v>
      </c>
      <c r="C16" s="14"/>
      <c r="D16" s="13"/>
      <c r="E16" s="12" t="s">
        <v>180</v>
      </c>
      <c r="F16" s="14"/>
      <c r="G16" s="13"/>
      <c r="H16" s="12" t="s">
        <v>180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181</v>
      </c>
      <c r="F17" s="14"/>
      <c r="G17" s="13"/>
      <c r="H17" s="12" t="s">
        <v>181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9"/>
  <sheetViews>
    <sheetView topLeftCell="C6" workbookViewId="0">
      <selection activeCell="K22" sqref="K22:L22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33</v>
      </c>
      <c r="C1" s="2" t="s">
        <v>65</v>
      </c>
      <c r="D1" s="12" t="s">
        <v>182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183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184</v>
      </c>
      <c r="C16" s="14"/>
      <c r="D16" s="13"/>
      <c r="E16" s="12" t="s">
        <v>185</v>
      </c>
      <c r="F16" s="14"/>
      <c r="G16" s="13"/>
      <c r="H16" s="12" t="s">
        <v>185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186</v>
      </c>
      <c r="F17" s="14"/>
      <c r="G17" s="13"/>
      <c r="H17" s="12" t="s">
        <v>186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"/>
  <sheetViews>
    <sheetView topLeftCell="B6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34</v>
      </c>
      <c r="C1" s="2" t="s">
        <v>65</v>
      </c>
      <c r="D1" s="12" t="s">
        <v>187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188</v>
      </c>
      <c r="C9" s="14"/>
      <c r="D9" s="13"/>
      <c r="F9" s="10">
        <v>1</v>
      </c>
      <c r="G9" s="12" t="s">
        <v>189</v>
      </c>
      <c r="H9" s="14"/>
      <c r="I9" s="13"/>
    </row>
    <row r="10" spans="1:12" ht="18" customHeight="1" x14ac:dyDescent="0.25">
      <c r="A10" s="10">
        <v>2</v>
      </c>
      <c r="B10" s="12" t="s">
        <v>149</v>
      </c>
      <c r="C10" s="14"/>
      <c r="D10" s="13"/>
      <c r="F10" s="10">
        <v>2</v>
      </c>
      <c r="G10" s="12" t="s">
        <v>190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150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160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191</v>
      </c>
      <c r="C16" s="14"/>
      <c r="D16" s="13"/>
      <c r="E16" s="12" t="s">
        <v>192</v>
      </c>
      <c r="F16" s="14"/>
      <c r="G16" s="13"/>
      <c r="H16" s="12" t="s">
        <v>192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193</v>
      </c>
      <c r="F17" s="14"/>
      <c r="G17" s="13"/>
      <c r="H17" s="12" t="s">
        <v>193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9"/>
  <sheetViews>
    <sheetView topLeftCell="C5" workbookViewId="0">
      <selection activeCell="K20" sqref="K20:L20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35</v>
      </c>
      <c r="C1" s="2" t="s">
        <v>65</v>
      </c>
      <c r="D1" s="12" t="s">
        <v>194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195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160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161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196</v>
      </c>
      <c r="C16" s="14"/>
      <c r="D16" s="13"/>
      <c r="E16" s="12" t="s">
        <v>197</v>
      </c>
      <c r="F16" s="14"/>
      <c r="G16" s="13"/>
      <c r="H16" s="12" t="s">
        <v>197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198</v>
      </c>
      <c r="F17" s="14"/>
      <c r="G17" s="13"/>
      <c r="H17" s="12" t="s">
        <v>198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9"/>
  <sheetViews>
    <sheetView workbookViewId="0"/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36</v>
      </c>
      <c r="C1" s="2" t="s">
        <v>65</v>
      </c>
      <c r="D1" s="12" t="s">
        <v>199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200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201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159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160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202</v>
      </c>
      <c r="C16" s="14"/>
      <c r="D16" s="13"/>
      <c r="E16" s="12" t="s">
        <v>203</v>
      </c>
      <c r="F16" s="14"/>
      <c r="G16" s="13"/>
      <c r="H16" s="12" t="s">
        <v>203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204</v>
      </c>
      <c r="F17" s="14"/>
      <c r="G17" s="13"/>
      <c r="H17" s="12" t="s">
        <v>204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 t="s">
        <v>73</v>
      </c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 t="s">
        <v>73</v>
      </c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 t="s">
        <v>73</v>
      </c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 t="s">
        <v>73</v>
      </c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 t="s">
        <v>73</v>
      </c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 t="s">
        <v>73</v>
      </c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 t="s">
        <v>73</v>
      </c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 t="s">
        <v>73</v>
      </c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9"/>
  <sheetViews>
    <sheetView topLeftCell="C7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37</v>
      </c>
      <c r="C1" s="2" t="s">
        <v>65</v>
      </c>
      <c r="D1" s="12" t="s">
        <v>205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149</v>
      </c>
      <c r="C9" s="14"/>
      <c r="D9" s="13"/>
      <c r="F9" s="10">
        <v>1</v>
      </c>
      <c r="G9" s="12" t="s">
        <v>206</v>
      </c>
      <c r="H9" s="14"/>
      <c r="I9" s="13"/>
    </row>
    <row r="10" spans="1:12" ht="18" customHeight="1" x14ac:dyDescent="0.25">
      <c r="A10" s="10">
        <v>2</v>
      </c>
      <c r="B10" s="12" t="s">
        <v>86</v>
      </c>
      <c r="C10" s="14"/>
      <c r="D10" s="13"/>
      <c r="F10" s="10">
        <v>2</v>
      </c>
      <c r="G10" s="12" t="s">
        <v>207</v>
      </c>
      <c r="H10" s="14"/>
      <c r="I10" s="13"/>
    </row>
    <row r="11" spans="1:12" ht="18" customHeight="1" x14ac:dyDescent="0.25">
      <c r="A11" s="10">
        <v>3</v>
      </c>
      <c r="B11" s="12" t="s">
        <v>86</v>
      </c>
      <c r="C11" s="14"/>
      <c r="D11" s="13"/>
      <c r="F11" s="10">
        <v>3</v>
      </c>
      <c r="G11" s="12" t="s">
        <v>161</v>
      </c>
      <c r="H11" s="14"/>
      <c r="I11" s="13"/>
    </row>
    <row r="12" spans="1:12" ht="18" customHeight="1" x14ac:dyDescent="0.25">
      <c r="A12" s="10">
        <v>4</v>
      </c>
      <c r="B12" s="12" t="s">
        <v>86</v>
      </c>
      <c r="C12" s="14"/>
      <c r="D12" s="13"/>
      <c r="F12" s="10">
        <v>4</v>
      </c>
      <c r="G12" s="12" t="s">
        <v>86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208</v>
      </c>
      <c r="C16" s="14"/>
      <c r="D16" s="13"/>
      <c r="E16" s="12" t="s">
        <v>209</v>
      </c>
      <c r="F16" s="14"/>
      <c r="G16" s="13"/>
      <c r="H16" s="12" t="s">
        <v>209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153</v>
      </c>
      <c r="C17" s="14"/>
      <c r="D17" s="13"/>
      <c r="E17" s="12" t="s">
        <v>210</v>
      </c>
      <c r="F17" s="14"/>
      <c r="G17" s="13"/>
      <c r="H17" s="12" t="s">
        <v>210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/>
      <c r="C18" s="14"/>
      <c r="D18" s="13"/>
      <c r="E18" s="12"/>
      <c r="F18" s="14"/>
      <c r="G18" s="13"/>
      <c r="H18" s="12"/>
      <c r="I18" s="14"/>
      <c r="J18" s="13"/>
      <c r="K18" s="12"/>
      <c r="L18" s="13"/>
    </row>
    <row r="19" spans="1:12" ht="18" customHeight="1" x14ac:dyDescent="0.25">
      <c r="A19" s="10">
        <v>4</v>
      </c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>
        <v>5</v>
      </c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>
        <v>6</v>
      </c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>
        <v>7</v>
      </c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9"/>
  <sheetViews>
    <sheetView topLeftCell="B10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211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213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>
        <v>2</v>
      </c>
      <c r="G10" s="12" t="s">
        <v>159</v>
      </c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>
        <v>3</v>
      </c>
      <c r="G11" s="12" t="s">
        <v>216</v>
      </c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223</v>
      </c>
      <c r="F18" s="14"/>
      <c r="G18" s="13"/>
      <c r="H18" s="12" t="s">
        <v>223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9"/>
  <sheetViews>
    <sheetView topLeftCell="A8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224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225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226</v>
      </c>
      <c r="F18" s="14"/>
      <c r="G18" s="13"/>
      <c r="H18" s="12" t="s">
        <v>226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9"/>
  <sheetViews>
    <sheetView topLeftCell="F11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227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228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226</v>
      </c>
      <c r="F18" s="14"/>
      <c r="G18" s="13"/>
      <c r="H18" s="12" t="s">
        <v>226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9"/>
  <sheetViews>
    <sheetView topLeftCell="F5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229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230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231</v>
      </c>
      <c r="F18" s="14"/>
      <c r="G18" s="13"/>
      <c r="H18" s="12" t="s">
        <v>231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9"/>
  <sheetViews>
    <sheetView topLeftCell="B11" workbookViewId="0">
      <selection activeCell="E24" sqref="E24:G24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232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233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234</v>
      </c>
      <c r="F18" s="14"/>
      <c r="G18" s="13"/>
      <c r="H18" s="12" t="s">
        <v>234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9"/>
  <sheetViews>
    <sheetView topLeftCell="F12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235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236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237</v>
      </c>
      <c r="F18" s="14"/>
      <c r="G18" s="13"/>
      <c r="H18" s="12" t="s">
        <v>237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9"/>
  <sheetViews>
    <sheetView topLeftCell="A11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238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239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240</v>
      </c>
      <c r="F18" s="14"/>
      <c r="G18" s="13"/>
      <c r="H18" s="12" t="s">
        <v>240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9"/>
  <sheetViews>
    <sheetView topLeftCell="F16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241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242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240</v>
      </c>
      <c r="F18" s="14"/>
      <c r="G18" s="13"/>
      <c r="H18" s="12" t="s">
        <v>240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9"/>
  <sheetViews>
    <sheetView topLeftCell="B10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243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244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245</v>
      </c>
      <c r="F18" s="14"/>
      <c r="G18" s="13"/>
      <c r="H18" s="12" t="s">
        <v>245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9"/>
  <sheetViews>
    <sheetView topLeftCell="B9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246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247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248</v>
      </c>
      <c r="F18" s="14"/>
      <c r="G18" s="13"/>
      <c r="H18" s="12" t="s">
        <v>248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9"/>
  <sheetViews>
    <sheetView topLeftCell="A8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249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250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251</v>
      </c>
      <c r="F18" s="14"/>
      <c r="G18" s="13"/>
      <c r="H18" s="12" t="s">
        <v>251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9"/>
  <sheetViews>
    <sheetView topLeftCell="F7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252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253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254</v>
      </c>
      <c r="F18" s="14"/>
      <c r="G18" s="13"/>
      <c r="H18" s="12" t="s">
        <v>254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9"/>
  <sheetViews>
    <sheetView topLeftCell="F9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255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256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257</v>
      </c>
      <c r="F18" s="14"/>
      <c r="G18" s="13"/>
      <c r="H18" s="12" t="s">
        <v>257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29"/>
  <sheetViews>
    <sheetView topLeftCell="F12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258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259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260</v>
      </c>
      <c r="F18" s="14"/>
      <c r="G18" s="13"/>
      <c r="H18" s="12" t="s">
        <v>260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9"/>
  <sheetViews>
    <sheetView tabSelected="1" workbookViewId="0">
      <selection activeCell="H24" sqref="H24:J24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261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262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263</v>
      </c>
      <c r="F18" s="14"/>
      <c r="G18" s="13"/>
      <c r="H18" s="12" t="s">
        <v>263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9"/>
  <sheetViews>
    <sheetView topLeftCell="F13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264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265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263</v>
      </c>
      <c r="F18" s="14"/>
      <c r="G18" s="13"/>
      <c r="H18" s="12" t="s">
        <v>263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9"/>
  <sheetViews>
    <sheetView topLeftCell="F6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266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267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268</v>
      </c>
      <c r="F18" s="14"/>
      <c r="G18" s="13"/>
      <c r="H18" s="12" t="s">
        <v>268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9"/>
  <sheetViews>
    <sheetView topLeftCell="F11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269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270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271</v>
      </c>
      <c r="F18" s="14"/>
      <c r="G18" s="13"/>
      <c r="H18" s="12" t="s">
        <v>271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9"/>
  <sheetViews>
    <sheetView topLeftCell="F6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272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273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274</v>
      </c>
      <c r="F18" s="14"/>
      <c r="G18" s="13"/>
      <c r="H18" s="12" t="s">
        <v>274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29"/>
  <sheetViews>
    <sheetView topLeftCell="F10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275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276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277</v>
      </c>
      <c r="F18" s="14"/>
      <c r="G18" s="13"/>
      <c r="H18" s="12" t="s">
        <v>277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9"/>
  <sheetViews>
    <sheetView topLeftCell="F9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278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279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280</v>
      </c>
      <c r="F18" s="14"/>
      <c r="G18" s="13"/>
      <c r="H18" s="12" t="s">
        <v>280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9"/>
  <sheetViews>
    <sheetView topLeftCell="F8" workbookViewId="0">
      <selection activeCell="K23" sqref="K23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281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282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>
        <v>2</v>
      </c>
      <c r="G10" s="12" t="s">
        <v>283</v>
      </c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284</v>
      </c>
      <c r="F18" s="14"/>
      <c r="G18" s="13"/>
      <c r="H18" s="12" t="s">
        <v>284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9"/>
  <sheetViews>
    <sheetView topLeftCell="B14" workbookViewId="0">
      <selection activeCell="K24" sqref="K24:L24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285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286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287</v>
      </c>
      <c r="F18" s="14"/>
      <c r="G18" s="13"/>
      <c r="H18" s="12" t="s">
        <v>287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9"/>
  <sheetViews>
    <sheetView topLeftCell="B5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288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289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290</v>
      </c>
      <c r="F18" s="14"/>
      <c r="G18" s="13"/>
      <c r="H18" s="12" t="s">
        <v>290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9"/>
  <sheetViews>
    <sheetView topLeftCell="B6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291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292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/>
      <c r="G10" s="12"/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/>
      <c r="G11" s="12"/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/>
      <c r="G12" s="12"/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293</v>
      </c>
      <c r="F18" s="14"/>
      <c r="G18" s="13"/>
      <c r="H18" s="12" t="s">
        <v>293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9"/>
  <sheetViews>
    <sheetView topLeftCell="B13" workbookViewId="0">
      <selection activeCell="K25" sqref="K25:L25"/>
    </sheetView>
  </sheetViews>
  <sheetFormatPr defaultRowHeight="13.8" x14ac:dyDescent="0.25"/>
  <cols>
    <col min="1" max="1" width="6" customWidth="1"/>
    <col min="2" max="3" width="18" customWidth="1"/>
    <col min="4" max="4" width="20" customWidth="1"/>
    <col min="5" max="5" width="24" customWidth="1"/>
    <col min="6" max="6" width="6" customWidth="1"/>
    <col min="7" max="7" width="20" customWidth="1"/>
    <col min="8" max="10" width="18" customWidth="1"/>
    <col min="11" max="11" width="22" customWidth="1"/>
    <col min="12" max="12" width="18" customWidth="1"/>
  </cols>
  <sheetData>
    <row r="1" spans="1:12" ht="18" customHeight="1" x14ac:dyDescent="0.25">
      <c r="A1" s="2" t="s">
        <v>64</v>
      </c>
      <c r="B1" s="9" t="s">
        <v>28</v>
      </c>
      <c r="C1" s="2" t="s">
        <v>294</v>
      </c>
      <c r="D1" s="12" t="s">
        <v>142</v>
      </c>
      <c r="E1" s="14"/>
      <c r="F1" s="14"/>
      <c r="G1" s="14"/>
      <c r="H1" s="14"/>
      <c r="I1" s="13"/>
      <c r="J1" s="2" t="s">
        <v>67</v>
      </c>
      <c r="K1" s="12" t="s">
        <v>68</v>
      </c>
      <c r="L1" s="13"/>
    </row>
    <row r="2" spans="1:12" ht="18" customHeight="1" x14ac:dyDescent="0.25">
      <c r="A2" s="2" t="s">
        <v>69</v>
      </c>
      <c r="B2" s="9" t="s">
        <v>4</v>
      </c>
      <c r="C2" s="2" t="s">
        <v>70</v>
      </c>
      <c r="D2" s="9" t="s">
        <v>71</v>
      </c>
      <c r="E2" s="3"/>
      <c r="F2" s="3"/>
      <c r="G2" s="3"/>
      <c r="H2" s="3"/>
      <c r="I2" s="3"/>
      <c r="J2" s="2" t="s">
        <v>72</v>
      </c>
      <c r="K2" s="12" t="s">
        <v>73</v>
      </c>
      <c r="L2" s="13"/>
    </row>
    <row r="3" spans="1:12" ht="18" customHeight="1" x14ac:dyDescent="0.25"/>
    <row r="4" spans="1:12" ht="18" customHeight="1" x14ac:dyDescent="0.25">
      <c r="A4" s="2" t="s">
        <v>74</v>
      </c>
      <c r="B4" s="12" t="s">
        <v>75</v>
      </c>
      <c r="C4" s="14"/>
      <c r="D4" s="14"/>
      <c r="E4" s="14"/>
      <c r="F4" s="14"/>
      <c r="G4" s="14"/>
      <c r="H4" s="14"/>
      <c r="I4" s="14"/>
      <c r="J4" s="14"/>
      <c r="K4" s="14"/>
      <c r="L4" s="13"/>
    </row>
    <row r="5" spans="1:12" ht="18" customHeight="1" x14ac:dyDescent="0.25"/>
    <row r="6" spans="1:12" ht="18" customHeight="1" x14ac:dyDescent="0.25">
      <c r="A6" s="2" t="s">
        <v>76</v>
      </c>
      <c r="B6" s="9" t="s">
        <v>4</v>
      </c>
      <c r="C6" s="2" t="s">
        <v>77</v>
      </c>
      <c r="D6" s="9" t="s">
        <v>10</v>
      </c>
      <c r="J6" s="2" t="s">
        <v>78</v>
      </c>
      <c r="K6" s="12"/>
      <c r="L6" s="13"/>
    </row>
    <row r="7" spans="1:12" ht="18" customHeight="1" x14ac:dyDescent="0.25"/>
    <row r="8" spans="1:12" ht="18" customHeight="1" x14ac:dyDescent="0.25">
      <c r="A8" s="2" t="s">
        <v>79</v>
      </c>
      <c r="B8" s="15" t="s">
        <v>80</v>
      </c>
      <c r="C8" s="14"/>
      <c r="D8" s="13"/>
      <c r="F8" s="2" t="s">
        <v>79</v>
      </c>
      <c r="G8" s="15" t="s">
        <v>81</v>
      </c>
      <c r="H8" s="14"/>
      <c r="I8" s="13"/>
    </row>
    <row r="9" spans="1:12" ht="18" customHeight="1" x14ac:dyDescent="0.25">
      <c r="A9" s="10">
        <v>1</v>
      </c>
      <c r="B9" s="12" t="s">
        <v>212</v>
      </c>
      <c r="C9" s="14"/>
      <c r="D9" s="13"/>
      <c r="F9" s="10">
        <v>1</v>
      </c>
      <c r="G9" s="12" t="s">
        <v>295</v>
      </c>
      <c r="H9" s="14"/>
      <c r="I9" s="13"/>
    </row>
    <row r="10" spans="1:12" ht="18" customHeight="1" x14ac:dyDescent="0.25">
      <c r="A10" s="10">
        <v>2</v>
      </c>
      <c r="B10" s="12" t="s">
        <v>214</v>
      </c>
      <c r="C10" s="14"/>
      <c r="D10" s="13"/>
      <c r="F10" s="10">
        <v>2</v>
      </c>
      <c r="G10" s="12" t="s">
        <v>296</v>
      </c>
      <c r="H10" s="14"/>
      <c r="I10" s="13"/>
    </row>
    <row r="11" spans="1:12" ht="18" customHeight="1" x14ac:dyDescent="0.25">
      <c r="A11" s="10">
        <v>3</v>
      </c>
      <c r="B11" s="12" t="s">
        <v>215</v>
      </c>
      <c r="C11" s="14"/>
      <c r="D11" s="13"/>
      <c r="F11" s="10">
        <v>3</v>
      </c>
      <c r="G11" s="12" t="s">
        <v>297</v>
      </c>
      <c r="H11" s="14"/>
      <c r="I11" s="13"/>
    </row>
    <row r="12" spans="1:12" ht="18" customHeight="1" x14ac:dyDescent="0.25">
      <c r="A12" s="10">
        <v>4</v>
      </c>
      <c r="B12" s="12" t="s">
        <v>217</v>
      </c>
      <c r="C12" s="14"/>
      <c r="D12" s="13"/>
      <c r="F12" s="10">
        <v>4</v>
      </c>
      <c r="G12" s="12" t="s">
        <v>298</v>
      </c>
      <c r="H12" s="14"/>
      <c r="I12" s="13"/>
    </row>
    <row r="13" spans="1:12" ht="18" customHeight="1" x14ac:dyDescent="0.25"/>
    <row r="14" spans="1:12" ht="18" customHeight="1" x14ac:dyDescent="0.25">
      <c r="A14" s="17" t="s">
        <v>89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8" customHeight="1" x14ac:dyDescent="0.25">
      <c r="A15" s="11" t="s">
        <v>90</v>
      </c>
      <c r="B15" s="16" t="s">
        <v>91</v>
      </c>
      <c r="C15" s="14"/>
      <c r="D15" s="13"/>
      <c r="E15" s="16" t="s">
        <v>92</v>
      </c>
      <c r="F15" s="14"/>
      <c r="G15" s="13"/>
      <c r="H15" s="16" t="s">
        <v>93</v>
      </c>
      <c r="I15" s="14"/>
      <c r="J15" s="13"/>
      <c r="K15" s="16" t="s">
        <v>94</v>
      </c>
      <c r="L15" s="13"/>
    </row>
    <row r="16" spans="1:12" ht="18" customHeight="1" x14ac:dyDescent="0.25">
      <c r="A16" s="10">
        <v>1</v>
      </c>
      <c r="B16" s="12" t="s">
        <v>218</v>
      </c>
      <c r="C16" s="14"/>
      <c r="D16" s="13"/>
      <c r="E16" s="12" t="s">
        <v>219</v>
      </c>
      <c r="F16" s="14"/>
      <c r="G16" s="13"/>
      <c r="H16" s="12" t="s">
        <v>219</v>
      </c>
      <c r="I16" s="14"/>
      <c r="J16" s="13"/>
      <c r="K16" s="12" t="s">
        <v>73</v>
      </c>
      <c r="L16" s="13"/>
    </row>
    <row r="17" spans="1:12" ht="18" customHeight="1" x14ac:dyDescent="0.25">
      <c r="A17" s="10">
        <v>2</v>
      </c>
      <c r="B17" s="12" t="s">
        <v>220</v>
      </c>
      <c r="C17" s="14"/>
      <c r="D17" s="13"/>
      <c r="E17" s="12" t="s">
        <v>221</v>
      </c>
      <c r="F17" s="14"/>
      <c r="G17" s="13"/>
      <c r="H17" s="12" t="s">
        <v>221</v>
      </c>
      <c r="I17" s="14"/>
      <c r="J17" s="13"/>
      <c r="K17" s="12" t="s">
        <v>73</v>
      </c>
      <c r="L17" s="13"/>
    </row>
    <row r="18" spans="1:12" ht="18" customHeight="1" x14ac:dyDescent="0.25">
      <c r="A18" s="10">
        <v>3</v>
      </c>
      <c r="B18" s="12" t="s">
        <v>222</v>
      </c>
      <c r="C18" s="14"/>
      <c r="D18" s="13"/>
      <c r="E18" s="12" t="s">
        <v>299</v>
      </c>
      <c r="F18" s="14"/>
      <c r="G18" s="13"/>
      <c r="H18" s="12" t="s">
        <v>299</v>
      </c>
      <c r="I18" s="14"/>
      <c r="J18" s="13"/>
      <c r="K18" s="12" t="s">
        <v>73</v>
      </c>
      <c r="L18" s="13"/>
    </row>
    <row r="19" spans="1:12" ht="18" customHeight="1" x14ac:dyDescent="0.25">
      <c r="A19" s="10"/>
      <c r="B19" s="12"/>
      <c r="C19" s="14"/>
      <c r="D19" s="13"/>
      <c r="E19" s="12"/>
      <c r="F19" s="14"/>
      <c r="G19" s="13"/>
      <c r="H19" s="12"/>
      <c r="I19" s="14"/>
      <c r="J19" s="13"/>
      <c r="K19" s="12"/>
      <c r="L19" s="13"/>
    </row>
    <row r="20" spans="1:12" ht="18" customHeight="1" x14ac:dyDescent="0.25">
      <c r="A20" s="10"/>
      <c r="B20" s="12"/>
      <c r="C20" s="14"/>
      <c r="D20" s="13"/>
      <c r="E20" s="12"/>
      <c r="F20" s="14"/>
      <c r="G20" s="13"/>
      <c r="H20" s="12"/>
      <c r="I20" s="14"/>
      <c r="J20" s="13"/>
      <c r="K20" s="12"/>
      <c r="L20" s="13"/>
    </row>
    <row r="21" spans="1:12" ht="18" customHeight="1" x14ac:dyDescent="0.25">
      <c r="A21" s="10"/>
      <c r="B21" s="12"/>
      <c r="C21" s="14"/>
      <c r="D21" s="13"/>
      <c r="E21" s="12"/>
      <c r="F21" s="14"/>
      <c r="G21" s="13"/>
      <c r="H21" s="12"/>
      <c r="I21" s="14"/>
      <c r="J21" s="13"/>
      <c r="K21" s="12"/>
      <c r="L21" s="13"/>
    </row>
    <row r="22" spans="1:12" ht="18" customHeight="1" x14ac:dyDescent="0.25">
      <c r="A22" s="10"/>
      <c r="B22" s="12"/>
      <c r="C22" s="14"/>
      <c r="D22" s="13"/>
      <c r="E22" s="12"/>
      <c r="F22" s="14"/>
      <c r="G22" s="13"/>
      <c r="H22" s="12"/>
      <c r="I22" s="14"/>
      <c r="J22" s="13"/>
      <c r="K22" s="12"/>
      <c r="L22" s="13"/>
    </row>
    <row r="23" spans="1:12" ht="18" customHeight="1" x14ac:dyDescent="0.25">
      <c r="A23" s="10">
        <v>8</v>
      </c>
      <c r="B23" s="12"/>
      <c r="C23" s="14"/>
      <c r="D23" s="13"/>
      <c r="E23" s="12"/>
      <c r="F23" s="14"/>
      <c r="G23" s="13"/>
      <c r="H23" s="12"/>
      <c r="I23" s="14"/>
      <c r="J23" s="13"/>
      <c r="K23" s="12"/>
      <c r="L23" s="13"/>
    </row>
    <row r="24" spans="1:12" ht="18" customHeight="1" x14ac:dyDescent="0.25">
      <c r="A24" s="10">
        <v>9</v>
      </c>
      <c r="B24" s="12"/>
      <c r="C24" s="14"/>
      <c r="D24" s="13"/>
      <c r="E24" s="12"/>
      <c r="F24" s="14"/>
      <c r="G24" s="13"/>
      <c r="H24" s="12"/>
      <c r="I24" s="14"/>
      <c r="J24" s="13"/>
      <c r="K24" s="12"/>
      <c r="L24" s="13"/>
    </row>
    <row r="25" spans="1:12" ht="18" customHeight="1" x14ac:dyDescent="0.25">
      <c r="A25" s="10">
        <v>10</v>
      </c>
      <c r="B25" s="12"/>
      <c r="C25" s="14"/>
      <c r="D25" s="13"/>
      <c r="E25" s="12"/>
      <c r="F25" s="14"/>
      <c r="G25" s="13"/>
      <c r="H25" s="12"/>
      <c r="I25" s="14"/>
      <c r="J25" s="13"/>
      <c r="K25" s="12"/>
      <c r="L25" s="13"/>
    </row>
    <row r="26" spans="1:12" ht="18" customHeight="1" x14ac:dyDescent="0.25"/>
    <row r="27" spans="1:12" ht="18" customHeight="1" x14ac:dyDescent="0.25">
      <c r="A27" s="2" t="s">
        <v>101</v>
      </c>
      <c r="B27" s="12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8" customHeight="1" x14ac:dyDescent="0.25"/>
    <row r="29" spans="1:12" ht="18" customHeight="1" x14ac:dyDescent="0.25"/>
  </sheetData>
  <mergeCells count="61">
    <mergeCell ref="K19:L19"/>
    <mergeCell ref="B21:D21"/>
    <mergeCell ref="B12:D12"/>
    <mergeCell ref="K18:L18"/>
    <mergeCell ref="E20:G20"/>
    <mergeCell ref="D1:I1"/>
    <mergeCell ref="H20:J20"/>
    <mergeCell ref="E24:G24"/>
    <mergeCell ref="B22:D22"/>
    <mergeCell ref="E23:G23"/>
    <mergeCell ref="G8:I8"/>
    <mergeCell ref="E17:G17"/>
    <mergeCell ref="B18:D18"/>
    <mergeCell ref="K1:L1"/>
    <mergeCell ref="B9:D9"/>
    <mergeCell ref="A14:L14"/>
    <mergeCell ref="B15:D15"/>
    <mergeCell ref="K22:L22"/>
    <mergeCell ref="B20:D20"/>
    <mergeCell ref="E16:G16"/>
    <mergeCell ref="H15:J15"/>
    <mergeCell ref="E22:G22"/>
    <mergeCell ref="H18:J18"/>
    <mergeCell ref="K2:L2"/>
    <mergeCell ref="K6:L6"/>
    <mergeCell ref="G9:I9"/>
    <mergeCell ref="E18:G18"/>
    <mergeCell ref="H21:J21"/>
    <mergeCell ref="G12:I12"/>
    <mergeCell ref="B27:L27"/>
    <mergeCell ref="K21:L21"/>
    <mergeCell ref="B10:D10"/>
    <mergeCell ref="H16:J16"/>
    <mergeCell ref="B19:D19"/>
    <mergeCell ref="K20:L20"/>
    <mergeCell ref="H22:J22"/>
    <mergeCell ref="H19:J19"/>
    <mergeCell ref="B24:D24"/>
    <mergeCell ref="E25:G25"/>
    <mergeCell ref="H24:J24"/>
    <mergeCell ref="H23:J23"/>
    <mergeCell ref="E21:G21"/>
    <mergeCell ref="K23:L23"/>
    <mergeCell ref="B25:D25"/>
    <mergeCell ref="B16:D16"/>
    <mergeCell ref="K16:L16"/>
    <mergeCell ref="B4:L4"/>
    <mergeCell ref="B11:D11"/>
    <mergeCell ref="K25:L25"/>
    <mergeCell ref="G10:I10"/>
    <mergeCell ref="E19:G19"/>
    <mergeCell ref="H25:J25"/>
    <mergeCell ref="B23:D23"/>
    <mergeCell ref="K24:L24"/>
    <mergeCell ref="B8:D8"/>
    <mergeCell ref="K15:L15"/>
    <mergeCell ref="B17:D17"/>
    <mergeCell ref="H17:J17"/>
    <mergeCell ref="E15:G15"/>
    <mergeCell ref="K17:L17"/>
    <mergeCell ref="G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Test Summary Report</vt:lpstr>
      <vt:lpstr>B4_TC01</vt:lpstr>
      <vt:lpstr>B4_TC02</vt:lpstr>
      <vt:lpstr>B4_TC03</vt:lpstr>
      <vt:lpstr>B4_TC04</vt:lpstr>
      <vt:lpstr>B4_TC05</vt:lpstr>
      <vt:lpstr>B4_TC06</vt:lpstr>
      <vt:lpstr>B4_TC07</vt:lpstr>
      <vt:lpstr>B5_TC01</vt:lpstr>
      <vt:lpstr>B5_TC02</vt:lpstr>
      <vt:lpstr>B5_TC03</vt:lpstr>
      <vt:lpstr>B5_TC04</vt:lpstr>
      <vt:lpstr>B5_TC05</vt:lpstr>
      <vt:lpstr>B5_TC06</vt:lpstr>
      <vt:lpstr>B5_TC07</vt:lpstr>
      <vt:lpstr>B5_TC08</vt:lpstr>
      <vt:lpstr>B5_TC09</vt:lpstr>
      <vt:lpstr>B5_TC10</vt:lpstr>
      <vt:lpstr>B5_TC11</vt:lpstr>
      <vt:lpstr>B5_TC12</vt:lpstr>
      <vt:lpstr>B5_TC13</vt:lpstr>
      <vt:lpstr>B5_TC14</vt:lpstr>
      <vt:lpstr>B5_TC15</vt:lpstr>
      <vt:lpstr>B5_TC16</vt:lpstr>
      <vt:lpstr>B5_TC17</vt:lpstr>
      <vt:lpstr>B5_TC18</vt:lpstr>
      <vt:lpstr>B5_TC19</vt:lpstr>
      <vt:lpstr>B5_TC20</vt:lpstr>
      <vt:lpstr>B5_TC21</vt:lpstr>
      <vt:lpstr>B5_TC22</vt:lpstr>
      <vt:lpstr>B5_TC23</vt:lpstr>
      <vt:lpstr>B5_TC24</vt:lpstr>
      <vt:lpstr>B5_TC25</vt:lpstr>
      <vt:lpstr>B5_TC26</vt:lpstr>
      <vt:lpstr>B5_TC27</vt:lpstr>
      <vt:lpstr>B5_TC28</vt:lpstr>
      <vt:lpstr>B5_TC29</vt:lpstr>
      <vt:lpstr>B5_TC30</vt:lpstr>
      <vt:lpstr>B5_TC31</vt:lpstr>
      <vt:lpstr>B5_TC32</vt:lpstr>
      <vt:lpstr>B5_TC33</vt:lpstr>
      <vt:lpstr>B5_TC34</vt:lpstr>
      <vt:lpstr>B5_TC35</vt:lpstr>
      <vt:lpstr>B5_TC36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Nguyễn Hồ Trường</cp:lastModifiedBy>
  <dcterms:created xsi:type="dcterms:W3CDTF">2026-01-27T07:58:48Z</dcterms:created>
  <dcterms:modified xsi:type="dcterms:W3CDTF">2026-01-27T08:30:23Z</dcterms:modified>
</cp:coreProperties>
</file>